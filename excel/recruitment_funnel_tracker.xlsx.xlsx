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1DB1960D-79F1-4B4B-8289-AADF4FDFF2B2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Raw_Data" sheetId="1" r:id="rId1"/>
    <sheet name="Funnel_Summary" sheetId="2" r:id="rId2"/>
    <sheet name="Department_Analysis" sheetId="3" r:id="rId3"/>
    <sheet name="Recruiter_Scorecard" sheetId="4" r:id="rId4"/>
    <sheet name="KPI_Dashboar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E2" i="4"/>
  <c r="D2" i="4"/>
  <c r="C2" i="4"/>
  <c r="B2" i="4"/>
  <c r="D3" i="4"/>
  <c r="D4" i="4"/>
  <c r="D5" i="4"/>
  <c r="D6" i="4"/>
  <c r="F3" i="4"/>
  <c r="F4" i="4"/>
  <c r="F5" i="4"/>
  <c r="F6" i="4"/>
  <c r="F2" i="4"/>
  <c r="E3" i="4"/>
  <c r="E4" i="4"/>
  <c r="E5" i="4"/>
  <c r="E6" i="4"/>
  <c r="C3" i="4"/>
  <c r="C4" i="4"/>
  <c r="C5" i="4"/>
  <c r="C6" i="4"/>
  <c r="B3" i="4"/>
  <c r="B4" i="4"/>
  <c r="B5" i="4"/>
  <c r="B6" i="4"/>
  <c r="C2" i="3"/>
  <c r="B2" i="3"/>
  <c r="B3" i="3"/>
  <c r="B5" i="3"/>
  <c r="B4" i="3"/>
  <c r="B6" i="3"/>
  <c r="C3" i="3"/>
  <c r="C7" i="3"/>
  <c r="C5" i="3"/>
  <c r="C4" i="3"/>
  <c r="C6" i="3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<sst xmlns="http://schemas.openxmlformats.org/spreadsheetml/2006/main" count="15370" uniqueCount="1611">
  <si>
    <t>candidate_id</t>
  </si>
  <si>
    <t>department</t>
  </si>
  <si>
    <t>role_level</t>
  </si>
  <si>
    <t>source</t>
  </si>
  <si>
    <t>recruiter</t>
  </si>
  <si>
    <t>hiring_manager</t>
  </si>
  <si>
    <t>location</t>
  </si>
  <si>
    <t>work_mode</t>
  </si>
  <si>
    <t>gender</t>
  </si>
  <si>
    <t>application_date</t>
  </si>
  <si>
    <t>screening_date</t>
  </si>
  <si>
    <t>interview_date</t>
  </si>
  <si>
    <t>offer_date</t>
  </si>
  <si>
    <t>joining_date</t>
  </si>
  <si>
    <t>passed_screening</t>
  </si>
  <si>
    <t>passed_interview</t>
  </si>
  <si>
    <t>got_offer</t>
  </si>
  <si>
    <t>accepted_offer</t>
  </si>
  <si>
    <t>candidate_dropout</t>
  </si>
  <si>
    <t>candidate_status</t>
  </si>
  <si>
    <t>interview_score</t>
  </si>
  <si>
    <t>time_to_hire_days</t>
  </si>
  <si>
    <t>experience_years</t>
  </si>
  <si>
    <t>salary_offered</t>
  </si>
  <si>
    <t>offer_rejection_reason</t>
  </si>
  <si>
    <t>C1001</t>
  </si>
  <si>
    <t>Sales</t>
  </si>
  <si>
    <t>Junior</t>
  </si>
  <si>
    <t>Naukri</t>
  </si>
  <si>
    <t>Priya S</t>
  </si>
  <si>
    <t>Simran Gill</t>
  </si>
  <si>
    <t>Pune</t>
  </si>
  <si>
    <t>Onsite</t>
  </si>
  <si>
    <t>Male</t>
  </si>
  <si>
    <t>Interview Rejected</t>
  </si>
  <si>
    <t>C1002</t>
  </si>
  <si>
    <t>Operations</t>
  </si>
  <si>
    <t>Analyst</t>
  </si>
  <si>
    <t>Kunal Shah</t>
  </si>
  <si>
    <t>Delhi</t>
  </si>
  <si>
    <t>Hybrid</t>
  </si>
  <si>
    <t>Female</t>
  </si>
  <si>
    <t>C1003</t>
  </si>
  <si>
    <t>Marketing</t>
  </si>
  <si>
    <t>Referral</t>
  </si>
  <si>
    <t>Mumbai</t>
  </si>
  <si>
    <t>C1004</t>
  </si>
  <si>
    <t>Manager</t>
  </si>
  <si>
    <t>Ravi Verma</t>
  </si>
  <si>
    <t>Offer Rejected</t>
  </si>
  <si>
    <t>Role mismatch</t>
  </si>
  <si>
    <t>C1005</t>
  </si>
  <si>
    <t>Company Website</t>
  </si>
  <si>
    <t>C1006</t>
  </si>
  <si>
    <t>Sneha T</t>
  </si>
  <si>
    <t>Bangalore</t>
  </si>
  <si>
    <t>Remote</t>
  </si>
  <si>
    <t>C1007</t>
  </si>
  <si>
    <t>HR</t>
  </si>
  <si>
    <t>LinkedIn</t>
  </si>
  <si>
    <t>Hyderabad</t>
  </si>
  <si>
    <t>Joined</t>
  </si>
  <si>
    <t>C1008</t>
  </si>
  <si>
    <t>Rahul M</t>
  </si>
  <si>
    <t>Neha Kapoor</t>
  </si>
  <si>
    <t>C1009</t>
  </si>
  <si>
    <t>Anita K</t>
  </si>
  <si>
    <t>Pooja Nair</t>
  </si>
  <si>
    <t>Long hiring process</t>
  </si>
  <si>
    <t>C1010</t>
  </si>
  <si>
    <t>Engineering</t>
  </si>
  <si>
    <t>Senior</t>
  </si>
  <si>
    <t>C1011</t>
  </si>
  <si>
    <t>Campus</t>
  </si>
  <si>
    <t>Screening Rejected</t>
  </si>
  <si>
    <t>C1012</t>
  </si>
  <si>
    <t>Arjun Mehta</t>
  </si>
  <si>
    <t>C1013</t>
  </si>
  <si>
    <t>Lead</t>
  </si>
  <si>
    <t>C1014</t>
  </si>
  <si>
    <t>Higher salary elsewhere</t>
  </si>
  <si>
    <t>C1015</t>
  </si>
  <si>
    <t>C1016</t>
  </si>
  <si>
    <t>C1017</t>
  </si>
  <si>
    <t>C1018</t>
  </si>
  <si>
    <t>C1019</t>
  </si>
  <si>
    <t>C1020</t>
  </si>
  <si>
    <t>Counter offer accepted</t>
  </si>
  <si>
    <t>C1021</t>
  </si>
  <si>
    <t>C1022</t>
  </si>
  <si>
    <t>Finance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</si>
  <si>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</si>
  <si>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</si>
  <si>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</si>
  <si>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</si>
  <si>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</si>
  <si>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</si>
  <si>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</si>
  <si>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</si>
  <si>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</si>
  <si>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</si>
  <si>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</si>
  <si>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Deepak R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</si>
  <si>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</si>
  <si>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</si>
  <si>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</si>
  <si>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</si>
  <si>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</si>
  <si>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</si>
  <si>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</si>
  <si>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</si>
  <si>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</si>
  <si>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</si>
  <si>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</si>
  <si>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</si>
  <si>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</si>
  <si>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</si>
  <si>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</si>
  <si>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</si>
  <si>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</si>
  <si>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</si>
  <si>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</si>
  <si>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</si>
  <si>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</si>
  <si>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</si>
  <si>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</si>
  <si>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</si>
  <si>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Location mismatch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</si>
  <si>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</si>
  <si>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</si>
  <si>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</si>
  <si>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</si>
  <si>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</si>
  <si>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</si>
  <si>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</si>
  <si>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</si>
  <si>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</si>
  <si>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</si>
  <si>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</si>
  <si>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</si>
  <si>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</si>
  <si>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</si>
  <si>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</si>
  <si>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</si>
  <si>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</si>
  <si>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</si>
  <si>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</si>
  <si>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</si>
  <si>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</si>
  <si>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</si>
  <si>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</si>
  <si>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</si>
  <si>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</si>
  <si>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</si>
  <si>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</si>
  <si>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</si>
  <si>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</si>
  <si>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</si>
  <si>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</si>
  <si>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</si>
  <si>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</si>
  <si>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</si>
  <si>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</si>
  <si>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</si>
  <si>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</si>
  <si>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</si>
  <si>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</si>
  <si>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</si>
  <si>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</si>
  <si>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</si>
  <si>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</si>
  <si>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</si>
  <si>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</si>
  <si>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</si>
  <si>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</si>
  <si>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</si>
  <si>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</si>
  <si>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</si>
  <si>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</si>
  <si>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</si>
  <si>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</si>
  <si>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</si>
  <si>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</si>
  <si>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</si>
  <si>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</si>
  <si>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</si>
  <si>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</si>
  <si>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</si>
  <si>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</si>
  <si>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</si>
  <si>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</si>
  <si>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</si>
  <si>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</si>
  <si>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</si>
  <si>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</si>
  <si>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</si>
  <si>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</si>
  <si>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</si>
  <si>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</si>
  <si>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</si>
  <si>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</si>
  <si>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</si>
  <si>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</si>
  <si>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</si>
  <si>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</si>
  <si>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</si>
  <si>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</si>
  <si>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</si>
  <si>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</si>
  <si>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</si>
  <si>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</si>
  <si>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</si>
  <si>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</si>
  <si>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</si>
  <si>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</si>
  <si>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</si>
  <si>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</si>
  <si>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</si>
  <si>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</si>
  <si>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</si>
  <si>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</si>
  <si>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</si>
  <si>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</si>
  <si>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</si>
  <si>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</si>
  <si>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</si>
  <si>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</si>
  <si>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</si>
  <si>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</si>
  <si>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</si>
  <si>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</si>
  <si>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</si>
  <si>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</si>
  <si>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</si>
  <si>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</si>
  <si>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</si>
  <si>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</si>
  <si>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</si>
  <si>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</si>
  <si>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</si>
  <si>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</si>
  <si>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</si>
  <si>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</si>
  <si>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</si>
  <si>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</si>
  <si>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</si>
  <si>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</si>
  <si>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</si>
  <si>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</si>
  <si>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</si>
  <si>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</si>
  <si>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</si>
  <si>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</si>
  <si>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</si>
  <si>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</si>
  <si>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</si>
  <si>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</si>
  <si>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</si>
  <si>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</si>
  <si>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</si>
  <si>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</si>
  <si>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</si>
  <si>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</si>
  <si>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</si>
  <si>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</si>
  <si>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</si>
  <si>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</si>
  <si>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</si>
  <si>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</si>
  <si>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</si>
  <si>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</si>
  <si>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</si>
  <si>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</si>
  <si>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</si>
  <si>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</si>
  <si>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</si>
  <si>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</si>
  <si>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</si>
  <si>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</si>
  <si>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</si>
  <si>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</si>
  <si>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</si>
  <si>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</si>
  <si>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</si>
  <si>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</si>
  <si>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</si>
  <si>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</si>
  <si>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</si>
  <si>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</si>
  <si>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</si>
  <si>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</si>
  <si>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</si>
  <si>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</si>
  <si>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</si>
  <si>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</si>
  <si>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</si>
  <si>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</si>
  <si>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</si>
  <si>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</si>
  <si>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</si>
  <si>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</si>
  <si>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</si>
  <si>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</si>
  <si>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</si>
  <si>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</si>
  <si>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</si>
  <si>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</si>
  <si>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</si>
  <si>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</si>
  <si>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</si>
  <si>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</si>
  <si>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</si>
  <si>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</si>
  <si>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</si>
  <si>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</si>
  <si>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</si>
  <si>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</si>
  <si>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</si>
  <si>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</si>
  <si>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</si>
  <si>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</si>
  <si>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</si>
  <si>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</si>
  <si>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</si>
  <si>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</si>
  <si>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</si>
  <si>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</si>
  <si>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</si>
  <si>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</si>
  <si>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</si>
  <si>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</si>
  <si>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</si>
  <si>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</si>
  <si>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</si>
  <si>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</si>
  <si>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</si>
  <si>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</si>
  <si>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</si>
  <si>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</si>
  <si>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</si>
  <si>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</si>
  <si>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</si>
  <si>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</si>
  <si>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</si>
  <si>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</si>
  <si>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</si>
  <si>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</si>
  <si>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</si>
  <si>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</si>
  <si>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</si>
  <si>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</si>
  <si>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</si>
  <si>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</si>
  <si>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</si>
  <si>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</si>
  <si>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</si>
  <si>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</si>
  <si>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</si>
  <si>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</si>
  <si>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</si>
  <si>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</si>
  <si>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</si>
  <si>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</si>
  <si>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</si>
  <si>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</si>
  <si>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</si>
  <si>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</si>
  <si>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</si>
  <si>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</si>
  <si>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</si>
  <si>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</si>
  <si>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</si>
  <si>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</si>
  <si>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</si>
  <si>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</si>
  <si>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</si>
  <si>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</si>
  <si>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</si>
  <si>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</si>
  <si>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</si>
  <si>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</si>
  <si>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</si>
  <si>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</si>
  <si>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</si>
  <si>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</si>
  <si>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</si>
  <si>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</si>
  <si>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</si>
  <si>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</si>
  <si>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</si>
  <si>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</si>
  <si>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</si>
  <si>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</si>
  <si>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</si>
  <si>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</si>
  <si>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</si>
  <si>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</si>
  <si>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</si>
  <si>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</si>
  <si>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</si>
  <si>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</si>
  <si>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</si>
  <si>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</si>
  <si>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</si>
  <si>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</si>
  <si>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</si>
  <si>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</si>
  <si>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</si>
  <si>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</si>
  <si>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</si>
  <si>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</si>
  <si>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</si>
  <si>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</si>
  <si>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</si>
  <si>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</si>
  <si>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</si>
  <si>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</si>
  <si>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</si>
  <si>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</si>
  <si>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</si>
  <si>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</si>
  <si>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</si>
  <si>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</si>
  <si>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</si>
  <si>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</si>
  <si>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</si>
  <si>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</si>
  <si>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</si>
  <si>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</si>
  <si>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</si>
  <si>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</si>
  <si>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</si>
  <si>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</si>
  <si>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</si>
  <si>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</si>
  <si>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</si>
  <si>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</si>
  <si>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</si>
  <si>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</si>
  <si>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</si>
  <si>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</si>
  <si>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</si>
  <si>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</si>
  <si>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</si>
  <si>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</si>
  <si>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</si>
  <si>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</si>
  <si>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</si>
  <si>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</si>
  <si>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</si>
  <si>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</si>
  <si>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</si>
  <si>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</si>
  <si>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</si>
  <si>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</si>
  <si>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</si>
  <si>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</si>
  <si>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</si>
  <si>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</si>
  <si>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</si>
  <si>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</si>
  <si>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</si>
  <si>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</si>
  <si>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</si>
  <si>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</si>
  <si>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</si>
  <si>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</si>
  <si>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</si>
  <si>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</si>
  <si>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</si>
  <si>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</si>
  <si>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</si>
  <si>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</si>
  <si>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</si>
  <si>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</si>
  <si>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</si>
  <si>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</si>
  <si>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</si>
  <si>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</si>
  <si>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</si>
  <si>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</si>
  <si>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</si>
  <si>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</si>
  <si>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</si>
  <si>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</si>
  <si>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</si>
  <si>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</si>
  <si>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</si>
  <si>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</si>
  <si>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</si>
  <si>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</si>
  <si>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</si>
  <si>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</si>
  <si>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</si>
  <si>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</si>
  <si>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</si>
  <si>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</si>
  <si>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</si>
  <si>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</si>
  <si>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</si>
  <si>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</si>
  <si>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</si>
  <si>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</si>
  <si>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</si>
  <si>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</si>
  <si>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</si>
  <si>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</si>
  <si>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</si>
  <si>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</si>
  <si>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</si>
  <si>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</si>
  <si>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</si>
  <si>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</si>
  <si>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</si>
  <si>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</si>
  <si>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</si>
  <si>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</si>
  <si>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</si>
  <si>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</si>
  <si>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</si>
  <si>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</si>
  <si>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</si>
  <si>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</si>
  <si>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</si>
  <si>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</si>
  <si>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</si>
  <si>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</si>
  <si>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</si>
  <si>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</si>
  <si>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</si>
  <si>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</si>
  <si>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</si>
  <si>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</si>
  <si>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</si>
  <si>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</si>
  <si>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</si>
  <si>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</si>
  <si>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</si>
  <si>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</si>
  <si>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</si>
  <si>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</si>
  <si>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</si>
  <si>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</si>
  <si>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</si>
  <si>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</si>
  <si>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</si>
  <si>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</si>
  <si>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</si>
  <si>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</si>
  <si>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</si>
  <si>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</si>
  <si>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</si>
  <si>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</si>
  <si>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</si>
  <si>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</si>
  <si>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</si>
  <si>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</si>
  <si>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</si>
  <si>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</si>
  <si>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</si>
  <si>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</si>
  <si>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</si>
  <si>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</si>
  <si>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</si>
  <si>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</si>
  <si>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</si>
  <si>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</si>
  <si>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</si>
  <si>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</si>
  <si>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</si>
  <si>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</si>
  <si>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</si>
  <si>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</si>
  <si>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</si>
  <si>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</si>
  <si>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</si>
  <si>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</si>
  <si>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</si>
  <si>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</si>
  <si>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</si>
  <si>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</si>
  <si>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</si>
  <si>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</si>
  <si>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</si>
  <si>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</si>
  <si>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</si>
  <si>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</si>
  <si>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</si>
  <si>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</si>
  <si>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</si>
  <si>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</si>
  <si>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</si>
  <si>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</si>
  <si>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</si>
  <si>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</si>
  <si>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</si>
  <si>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</si>
  <si>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</si>
  <si>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</si>
  <si>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</si>
  <si>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</si>
  <si>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</si>
  <si>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</si>
  <si>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</si>
  <si>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</si>
  <si>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</si>
  <si>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</si>
  <si>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</si>
  <si>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</si>
  <si>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</si>
  <si>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</si>
  <si>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</si>
  <si>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</si>
  <si>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</si>
  <si>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</si>
  <si>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</si>
  <si>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</si>
  <si>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</si>
  <si>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</si>
  <si>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</si>
  <si>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</si>
  <si>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</si>
  <si>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</si>
  <si>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</si>
  <si>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</si>
  <si>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</si>
  <si>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</si>
  <si>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</si>
  <si>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</si>
  <si>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</si>
  <si>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</si>
  <si>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</si>
  <si>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</si>
  <si>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</si>
  <si>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</si>
  <si>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</si>
  <si>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</si>
  <si>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</si>
  <si>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</si>
  <si>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</si>
  <si>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</si>
  <si>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</si>
  <si>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</si>
  <si>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</si>
  <si>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</si>
  <si>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</si>
  <si>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</si>
  <si>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</si>
  <si>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</si>
  <si>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</si>
  <si>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</si>
  <si>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</si>
  <si>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</si>
  <si>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</si>
  <si>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</si>
  <si>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</si>
  <si>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</si>
  <si>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</si>
  <si>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</si>
  <si>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</si>
  <si>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</si>
  <si>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</si>
  <si>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</si>
  <si>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</si>
  <si>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</si>
  <si>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</si>
  <si>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</si>
  <si>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</si>
  <si>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</si>
  <si>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</si>
  <si>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</si>
  <si>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</si>
  <si>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</si>
  <si>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</si>
  <si>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</si>
  <si>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</si>
  <si>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</si>
  <si>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</si>
  <si>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</si>
  <si>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</si>
  <si>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</si>
  <si>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</si>
  <si>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</si>
  <si>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</si>
  <si>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</si>
  <si>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</si>
  <si>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</si>
  <si>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</si>
  <si>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</si>
  <si>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</si>
  <si>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</si>
  <si>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</si>
  <si>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</si>
  <si>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</si>
  <si>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</si>
  <si>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</si>
  <si>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</si>
  <si>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</si>
  <si>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</si>
  <si>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</si>
  <si>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</si>
  <si>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</si>
  <si>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</si>
  <si>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</si>
  <si>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</si>
  <si>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</si>
  <si>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</si>
  <si>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</si>
  <si>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</si>
  <si>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</si>
  <si>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</si>
  <si>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</si>
  <si>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</si>
  <si>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</si>
  <si>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</si>
  <si>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</si>
  <si>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</si>
  <si>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</si>
  <si>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</si>
  <si>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</si>
  <si>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</si>
  <si>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</si>
  <si>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</si>
  <si>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</si>
  <si>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</si>
  <si>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</si>
  <si>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</si>
  <si>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</si>
  <si>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</si>
  <si>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</si>
  <si>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</si>
  <si>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</si>
  <si>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</si>
  <si>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</si>
  <si>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</si>
  <si>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</si>
  <si>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</si>
  <si>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</si>
  <si>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</si>
  <si>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</si>
  <si>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</si>
  <si>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</si>
  <si>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</si>
  <si>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</si>
  <si>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</si>
  <si>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</si>
  <si>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</si>
  <si>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</si>
  <si>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</si>
  <si>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</si>
  <si>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</si>
  <si>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</si>
  <si>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</si>
  <si>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</si>
  <si>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</si>
  <si>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</si>
  <si>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</si>
  <si>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</si>
  <si>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</si>
  <si>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</si>
  <si>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</si>
  <si>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</si>
  <si>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</si>
  <si>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</si>
  <si>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</si>
  <si>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</si>
  <si>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</si>
  <si>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</si>
  <si>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</si>
  <si>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</si>
  <si>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</si>
  <si>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</si>
  <si>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</si>
  <si>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</si>
  <si>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</si>
  <si>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</si>
  <si>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</si>
  <si>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</si>
  <si>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</si>
  <si>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</si>
  <si>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</si>
  <si>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</si>
  <si>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</si>
  <si>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</si>
  <si>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</si>
  <si>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</si>
  <si>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</si>
  <si>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</si>
  <si>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</si>
  <si>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</si>
  <si>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</si>
  <si>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</si>
  <si>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</si>
  <si>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</si>
  <si>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</si>
  <si>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</si>
  <si>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</si>
  <si>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</si>
  <si>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</si>
  <si>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</si>
  <si>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</si>
  <si>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</si>
  <si>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</si>
  <si>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</si>
  <si>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</si>
  <si>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</si>
  <si>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</si>
  <si>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</si>
  <si>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</si>
  <si>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</si>
  <si>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</si>
  <si>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</si>
  <si>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</si>
  <si>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</si>
  <si>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</si>
  <si>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</si>
  <si>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</si>
  <si>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</si>
  <si>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</si>
  <si>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</si>
  <si>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</si>
  <si>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</si>
  <si>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</si>
  <si>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</si>
  <si>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</si>
  <si>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</si>
  <si>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</si>
  <si>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</si>
  <si>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</si>
  <si>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</si>
  <si>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</si>
  <si>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</si>
  <si>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</si>
  <si>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</si>
  <si>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</si>
  <si>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</si>
  <si>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</si>
  <si>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</si>
  <si>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</si>
  <si>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</si>
  <si>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</si>
  <si>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</si>
  <si>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</si>
  <si>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</si>
  <si>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</si>
  <si>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</si>
  <si>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</si>
  <si>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</si>
  <si>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</si>
  <si>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</si>
  <si>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</si>
  <si>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</si>
  <si>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</si>
  <si>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</si>
  <si>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</si>
  <si>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</si>
  <si>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</si>
  <si>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</si>
  <si>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</si>
  <si>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</si>
  <si>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</si>
  <si>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</si>
  <si>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</si>
  <si>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</si>
  <si>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</si>
  <si>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</si>
  <si>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</si>
  <si>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</si>
  <si>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</si>
  <si>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</si>
  <si>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</si>
  <si>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</si>
  <si>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</si>
  <si>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</si>
  <si>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</si>
  <si>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</si>
  <si>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</si>
  <si>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</si>
  <si>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</si>
  <si>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</si>
  <si>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</si>
  <si>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</si>
  <si>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</si>
  <si>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</si>
  <si>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</si>
  <si>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</si>
  <si>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</si>
  <si>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</si>
  <si>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</si>
  <si>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</si>
  <si>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</si>
  <si>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</si>
  <si>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</si>
  <si>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</si>
  <si>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</si>
  <si>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</si>
  <si>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</si>
  <si>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</si>
  <si>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</si>
  <si>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</si>
  <si>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</si>
  <si>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</si>
  <si>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</si>
  <si>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</si>
  <si>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</si>
  <si>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</si>
  <si>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</si>
  <si>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</si>
  <si>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</si>
  <si>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</si>
  <si>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</si>
  <si>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</si>
  <si>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</si>
  <si>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</si>
  <si>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</si>
  <si>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</si>
  <si>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</si>
  <si>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</si>
  <si>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</si>
  <si>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</si>
  <si>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</si>
  <si>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</si>
  <si>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</si>
  <si>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</si>
  <si>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</si>
  <si>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</si>
  <si>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</si>
  <si>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</si>
  <si>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</si>
  <si>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</si>
  <si>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</si>
  <si>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</si>
  <si>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</si>
  <si>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</si>
  <si>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</si>
  <si>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</si>
  <si>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</si>
  <si>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</si>
  <si>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</si>
  <si>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</si>
  <si>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</si>
  <si>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</si>
  <si>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</si>
  <si>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</si>
  <si>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</si>
  <si>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</si>
  <si>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</si>
  <si>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</si>
  <si>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</si>
  <si>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</si>
  <si>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</si>
  <si>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</si>
  <si>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</si>
  <si>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</si>
  <si>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</si>
  <si>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</si>
  <si>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</si>
  <si>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</si>
  <si>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</si>
  <si>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</si>
  <si>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</si>
  <si>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</si>
  <si>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</si>
  <si>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</si>
  <si>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</si>
  <si>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</si>
  <si>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</si>
  <si>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</si>
  <si>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</si>
  <si>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</si>
  <si>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</si>
  <si>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</si>
  <si>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</si>
  <si>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</si>
  <si>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</si>
  <si>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</si>
  <si>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</si>
  <si>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</si>
  <si>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</si>
  <si>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</si>
  <si>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</si>
  <si>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</si>
  <si>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</si>
  <si>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</si>
  <si>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</si>
  <si>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</si>
  <si>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</si>
  <si>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</si>
  <si>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</si>
  <si>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</si>
  <si>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</si>
  <si>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</si>
  <si>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</si>
  <si>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</si>
  <si>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</si>
  <si>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</si>
  <si>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</si>
  <si>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</si>
  <si>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</si>
  <si>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</si>
  <si>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</si>
  <si>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</si>
  <si>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</si>
  <si>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</si>
  <si>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</si>
  <si>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</si>
  <si>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</si>
  <si>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</si>
  <si>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</si>
  <si>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</si>
  <si>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</si>
  <si>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</si>
  <si>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</si>
  <si>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</si>
  <si>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</si>
  <si>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</si>
  <si>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</si>
  <si>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</si>
  <si>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</si>
  <si>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</si>
  <si>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</si>
  <si>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</si>
  <si>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</si>
  <si>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</si>
  <si>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</si>
  <si>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</si>
  <si>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</si>
  <si>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</si>
  <si>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</si>
  <si>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</si>
  <si>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</si>
  <si>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</si>
  <si>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</si>
  <si>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</si>
  <si>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</si>
  <si>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</si>
  <si>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</si>
  <si>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</si>
  <si>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</si>
  <si>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</si>
  <si>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</si>
  <si>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</si>
  <si>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</si>
  <si>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</si>
  <si>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</si>
  <si>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</si>
  <si>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</si>
  <si>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</si>
  <si>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</si>
  <si>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</si>
  <si>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</si>
  <si>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</si>
  <si>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</si>
  <si>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</si>
  <si>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</si>
  <si>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</si>
  <si>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</si>
  <si>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</si>
  <si>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</si>
  <si>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</si>
  <si>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</si>
  <si>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</si>
  <si>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</si>
  <si>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</si>
  <si>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</si>
  <si>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</si>
  <si>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</si>
  <si>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</si>
  <si>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</si>
  <si>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</si>
  <si>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</si>
  <si>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</si>
  <si>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</si>
  <si>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</si>
  <si>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</si>
  <si>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</si>
  <si>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</si>
  <si>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</si>
  <si>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</si>
  <si>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</si>
  <si>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</si>
  <si>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</si>
  <si>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</si>
  <si>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</si>
  <si>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</si>
  <si>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</si>
  <si>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</si>
  <si>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</si>
  <si>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</si>
  <si>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</si>
  <si>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</si>
  <si>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</si>
  <si>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</si>
  <si>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</si>
  <si>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</si>
  <si>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</si>
  <si>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</si>
  <si>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</si>
  <si>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</si>
  <si>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</si>
  <si>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</si>
  <si>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</si>
  <si>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</si>
  <si>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</si>
  <si>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</si>
  <si>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</si>
  <si>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</si>
  <si>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</si>
  <si>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</si>
  <si>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</si>
  <si>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</si>
  <si>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</si>
  <si>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</si>
  <si>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</si>
  <si>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</si>
  <si>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</si>
  <si>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</si>
  <si>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</si>
  <si>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</si>
  <si>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</si>
  <si>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</si>
  <si>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</si>
  <si>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</si>
  <si>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</si>
  <si>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</si>
  <si>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</si>
  <si>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</si>
  <si>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</si>
  <si>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</si>
  <si>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</si>
  <si>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</si>
  <si>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</si>
  <si>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</si>
  <si>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</si>
  <si>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</si>
  <si>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</si>
  <si>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</si>
  <si>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</si>
  <si>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</si>
  <si>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</si>
  <si>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</si>
  <si>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</si>
  <si>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</si>
  <si>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</si>
  <si>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</si>
  <si>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</si>
  <si>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</si>
  <si>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</si>
  <si>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</si>
  <si>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</si>
  <si>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</si>
  <si>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</si>
  <si>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</si>
  <si>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</si>
  <si>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</si>
  <si>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</si>
  <si>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</si>
  <si>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</si>
  <si>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</si>
  <si>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</si>
  <si>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</si>
  <si>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</si>
  <si>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</si>
  <si>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</si>
  <si>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</si>
  <si>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</si>
  <si>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</si>
  <si>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</si>
  <si>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</si>
  <si>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</si>
  <si>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</si>
  <si>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</si>
  <si>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</si>
  <si>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</si>
  <si>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</si>
  <si>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</si>
  <si>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</si>
  <si>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</si>
  <si>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</si>
  <si>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</si>
  <si>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</si>
  <si>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</si>
  <si>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</si>
  <si>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</si>
  <si>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</si>
  <si>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</si>
  <si>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</si>
  <si>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</si>
  <si>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</si>
  <si>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</si>
  <si>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</si>
  <si>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</si>
  <si>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</si>
  <si>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</si>
  <si>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</si>
  <si>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</si>
  <si>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</si>
  <si>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</si>
  <si>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</si>
  <si>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</si>
  <si>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</si>
  <si>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</si>
  <si>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</si>
  <si>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</si>
  <si>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</si>
  <si>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</si>
  <si>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</si>
  <si>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</si>
  <si>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</si>
  <si>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</si>
  <si>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</si>
  <si>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</si>
  <si>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</si>
  <si>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</si>
  <si>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</si>
  <si>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</si>
  <si>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</si>
  <si>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</si>
  <si>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</si>
  <si>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</si>
  <si>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</si>
  <si>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</si>
  <si>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</si>
  <si>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</si>
  <si>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</si>
  <si>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</si>
  <si>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</si>
  <si>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</si>
  <si>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</si>
  <si>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</si>
  <si>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</si>
  <si>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</si>
  <si>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</si>
  <si>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</si>
  <si>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</si>
  <si>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</si>
  <si>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</si>
  <si>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</si>
  <si>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</si>
  <si>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</si>
  <si>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</si>
  <si>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</si>
  <si>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</si>
  <si>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</si>
  <si>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</si>
  <si>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</si>
  <si>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</si>
  <si>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</si>
  <si>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</si>
  <si>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</si>
  <si>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</si>
  <si>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</si>
  <si>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</si>
  <si>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</si>
  <si>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</si>
  <si>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</si>
  <si>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</si>
  <si>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</si>
  <si>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</si>
  <si>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</si>
  <si>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</si>
  <si>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</si>
  <si>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</si>
  <si>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</si>
  <si>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</si>
  <si>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</si>
  <si>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</si>
  <si>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</si>
  <si>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</si>
  <si>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</si>
  <si>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</si>
  <si>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</si>
  <si>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</si>
  <si>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</si>
  <si>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</si>
  <si>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</si>
  <si>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</si>
  <si>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</si>
  <si>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</si>
  <si>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</si>
  <si>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</si>
  <si>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</si>
  <si>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</si>
  <si>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</si>
  <si>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</si>
  <si>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</si>
  <si>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</si>
  <si>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</si>
  <si>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</si>
  <si>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</si>
  <si>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</si>
  <si>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</si>
  <si>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</si>
  <si>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</si>
  <si>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</si>
  <si>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</si>
  <si>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</si>
  <si>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</si>
  <si>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</si>
  <si>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</si>
  <si>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</si>
  <si>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</si>
  <si>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</si>
  <si>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</si>
  <si>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</si>
  <si>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</si>
  <si>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</si>
  <si>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</si>
  <si>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</si>
  <si>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</si>
  <si>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</si>
  <si>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</si>
  <si>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</si>
  <si>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</si>
  <si>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</si>
  <si>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</si>
  <si>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</si>
  <si>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</si>
  <si>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</si>
  <si>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</si>
  <si>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</si>
  <si>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</si>
  <si>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</si>
  <si>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</si>
  <si>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</si>
  <si>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</si>
  <si>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</si>
  <si>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</si>
  <si>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</si>
  <si>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</si>
  <si>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</si>
  <si>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</si>
  <si>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</si>
  <si>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</si>
  <si>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</si>
  <si>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</si>
  <si>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</si>
  <si>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</si>
  <si>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</si>
  <si>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</si>
  <si>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</si>
  <si>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</si>
  <si>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</si>
  <si>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</si>
  <si>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</si>
  <si>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</si>
  <si>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</si>
  <si>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</si>
  <si>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</si>
  <si>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</si>
  <si>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</si>
  <si>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</si>
  <si>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</si>
  <si>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</si>
  <si>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</si>
  <si>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</si>
  <si>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</si>
  <si>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</si>
  <si>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</si>
  <si>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</si>
  <si>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</si>
  <si>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</si>
  <si>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</si>
  <si>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</si>
  <si>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</si>
  <si>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</si>
  <si>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</si>
  <si>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</si>
  <si>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</si>
  <si>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</si>
  <si>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</si>
  <si>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</si>
  <si>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</si>
  <si>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</si>
  <si>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</si>
  <si>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</si>
  <si>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</si>
  <si>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</si>
  <si>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</si>
  <si>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</si>
  <si>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</si>
  <si>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</si>
  <si>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</si>
  <si>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</si>
  <si>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</si>
  <si>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</si>
  <si>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</si>
  <si>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</si>
  <si>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</si>
  <si>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</si>
  <si>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</si>
  <si>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</si>
  <si>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</si>
  <si>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</si>
  <si>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</si>
  <si>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</si>
  <si>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</si>
  <si>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</si>
  <si>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</si>
  <si>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</si>
  <si>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</si>
  <si>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</si>
  <si>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</si>
  <si>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</si>
  <si>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</si>
  <si>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</si>
  <si>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</si>
  <si>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</si>
  <si>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</si>
  <si>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</si>
  <si>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</si>
  <si>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</si>
  <si>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</si>
  <si>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</si>
  <si>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</si>
  <si>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</si>
  <si>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</si>
  <si>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</si>
  <si>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</si>
  <si>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</si>
  <si>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</si>
  <si>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</si>
  <si>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</si>
  <si>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</si>
  <si>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</si>
  <si>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</si>
  <si>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</si>
  <si>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</si>
  <si>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</si>
  <si>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</si>
  <si>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</si>
  <si>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</si>
  <si>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</si>
  <si>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</si>
  <si>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</si>
  <si>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</si>
  <si>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</si>
  <si>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</si>
  <si>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</si>
  <si>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</si>
  <si>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</si>
  <si>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</si>
  <si>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</si>
  <si>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</si>
  <si>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</si>
  <si>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</si>
  <si>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</si>
  <si>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</si>
  <si>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</si>
  <si>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</si>
  <si>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</si>
  <si>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</si>
  <si>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</si>
  <si>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</si>
  <si>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</si>
  <si>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</si>
  <si>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</si>
  <si>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</si>
  <si>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</si>
  <si>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</si>
  <si>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</si>
  <si>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</si>
  <si>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</si>
  <si>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</si>
  <si>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</si>
  <si>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</si>
  <si>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</si>
  <si>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</si>
  <si>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</si>
  <si>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</si>
  <si>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</si>
  <si>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</si>
  <si>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</si>
  <si>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</si>
  <si>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</si>
  <si>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</si>
  <si>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</si>
  <si>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</si>
  <si>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</si>
  <si>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</si>
  <si>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</si>
  <si>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</si>
  <si>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</si>
  <si>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</si>
  <si>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</si>
  <si>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</si>
  <si>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</si>
  <si>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</si>
  <si>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</si>
  <si>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</si>
  <si>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</si>
  <si>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</si>
  <si>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</si>
  <si>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</si>
  <si>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</si>
  <si>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</si>
  <si>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</si>
  <si>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</si>
  <si>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</si>
  <si>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</si>
  <si>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</si>
  <si>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</si>
  <si>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</si>
  <si>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</si>
  <si>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</si>
  <si>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</si>
  <si>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</si>
  <si>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</si>
  <si>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</si>
  <si>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</si>
  <si>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</si>
  <si>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</si>
  <si>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</si>
  <si>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</si>
  <si>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</si>
  <si>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</si>
  <si>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</si>
  <si>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</si>
  <si>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</si>
  <si>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</si>
  <si>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</si>
  <si>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</si>
  <si>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</si>
  <si>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</si>
  <si>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</si>
  <si>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</si>
  <si>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</si>
  <si>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</si>
  <si>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</si>
  <si>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</si>
  <si>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</si>
  <si>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</si>
  <si>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</si>
  <si>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</si>
  <si>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</si>
  <si>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</si>
  <si>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</si>
  <si>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</si>
  <si>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</si>
  <si>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</si>
  <si>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</si>
  <si>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</si>
  <si>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</si>
  <si>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</si>
  <si>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</si>
  <si>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</si>
  <si>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</si>
  <si>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</si>
  <si>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</si>
  <si>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</si>
  <si>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</si>
  <si>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</si>
  <si>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</si>
  <si>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</si>
  <si>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</si>
  <si>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</si>
  <si>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</si>
  <si>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</si>
  <si>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</si>
  <si>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</si>
  <si>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</si>
  <si>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</si>
  <si>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</si>
  <si>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</si>
  <si>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</si>
  <si>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</si>
  <si>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</si>
  <si>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</si>
  <si>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</si>
  <si>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</si>
  <si>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</si>
  <si>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Metric</t>
  </si>
  <si>
    <t>Value</t>
  </si>
  <si>
    <t>Total Applications</t>
  </si>
  <si>
    <t>Passed Screening</t>
  </si>
  <si>
    <t>Passed Interview</t>
  </si>
  <si>
    <t>Got Offer</t>
  </si>
  <si>
    <t>Accepted Offer</t>
  </si>
  <si>
    <t>Screening Rate %</t>
  </si>
  <si>
    <t>Interview Rate %</t>
  </si>
  <si>
    <t>Offer Rate %</t>
  </si>
  <si>
    <t>Acceptance Rate %</t>
  </si>
  <si>
    <t>Department</t>
  </si>
  <si>
    <t>Avg Time To Hire</t>
  </si>
  <si>
    <t>Hire Count</t>
  </si>
  <si>
    <t>Key Finding:</t>
  </si>
  <si>
    <t>Engineering requires 29.7 days on average to fill a position,</t>
  </si>
  <si>
    <t>86.8% longer than HR (15.9 days).</t>
  </si>
  <si>
    <t>Reducing Engineering hiring cycle to HR benchmark could</t>
  </si>
  <si>
    <t>save approximately 13.8 days per vacancy and significantly</t>
  </si>
  <si>
    <t>reduce productivity loss.</t>
  </si>
  <si>
    <t>Recruiter</t>
  </si>
  <si>
    <t>Total Hires</t>
  </si>
  <si>
    <t>Hire Rate %</t>
  </si>
  <si>
    <t>Avg Days To Hire</t>
  </si>
  <si>
    <t>Performance Rating</t>
  </si>
  <si>
    <t>Key Insight:</t>
  </si>
  <si>
    <t>Sneha T achieved the highest hire rate at 18.5%.</t>
  </si>
  <si>
    <t>Deepak R recorded the lowest hire rate at 16.7%.</t>
  </si>
  <si>
    <t>Difference between top and bottom recruiter is only 1.8 percentage points,</t>
  </si>
  <si>
    <t>Indicating consistent recruiter performance.</t>
  </si>
  <si>
    <t>HR Recruitment KPI Dashboard</t>
  </si>
  <si>
    <t>Column1</t>
  </si>
  <si>
    <t>Column2</t>
  </si>
  <si>
    <t>KPI</t>
  </si>
  <si>
    <t>Applications</t>
  </si>
  <si>
    <t>Hires</t>
  </si>
  <si>
    <t>Hire Rate</t>
  </si>
  <si>
    <t>Fastest Dept</t>
  </si>
  <si>
    <t>Slowest Dept</t>
  </si>
  <si>
    <t>Best Recruiter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</si>
</sst>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FFFFFF"/>
      <name val="Calibri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1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ont="1"/>
    <xf numFmtId="0" fontId="0" fillId="3" borderId="7" xfId="0" applyFont="1" applyFill="1" applyBorder="1"/>
    <xf numFmtId="0" fontId="0" fillId="4" borderId="7" xfId="0" applyFont="1" applyFill="1" applyBorder="1"/>
    <xf numFmtId="0" fontId="0" fillId="5" borderId="7" xfId="0" applyFont="1" applyFill="1" applyBorder="1"/>
    <xf numFmtId="0" fontId="1" fillId="3" borderId="8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0" fillId="3" borderId="9" xfId="0" applyFont="1" applyFill="1" applyBorder="1"/>
    <xf numFmtId="0" fontId="0" fillId="4" borderId="9" xfId="0" applyFont="1" applyFill="1" applyBorder="1"/>
    <xf numFmtId="0" fontId="0" fillId="5" borderId="9" xfId="0" applyFont="1" applyFill="1" applyBorder="1"/>
    <xf numFmtId="0" fontId="0" fillId="6" borderId="10" xfId="0" applyFont="1" applyFill="1" applyBorder="1"/>
    <xf numFmtId="0" fontId="0" fillId="6" borderId="11" xfId="0" applyFont="1" applyFill="1" applyBorder="1"/>
    <xf numFmtId="0" fontId="0" fillId="6" borderId="12" xfId="0" applyFont="1" applyFill="1" applyBorder="1"/>
    <xf numFmtId="0" fontId="1" fillId="4" borderId="13" xfId="0" applyFont="1" applyFill="1" applyBorder="1" applyAlignment="1">
      <alignment wrapText="1"/>
    </xf>
    <xf numFmtId="0" fontId="0" fillId="4" borderId="14" xfId="0" applyFont="1" applyFill="1" applyBorder="1"/>
    <xf numFmtId="0" fontId="0" fillId="4" borderId="15" xfId="0" applyFont="1" applyFill="1" applyBorder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164" fontId="0" fillId="0" borderId="0" xfId="0" applyNumberFormat="1"/>
    <xf numFmtId="0" fontId="0" fillId="6" borderId="7" xfId="0" applyFill="1" applyBorder="1"/>
    <xf numFmtId="0" fontId="1" fillId="6" borderId="7" xfId="0" applyFont="1" applyFill="1" applyBorder="1" applyAlignment="1">
      <alignment wrapText="1"/>
    </xf>
    <xf numFmtId="164" fontId="0" fillId="6" borderId="7" xfId="0" applyNumberFormat="1" applyFill="1" applyBorder="1"/>
    <xf numFmtId="0" fontId="1" fillId="4" borderId="7" xfId="0" applyFont="1" applyFill="1" applyBorder="1" applyAlignment="1">
      <alignment wrapText="1"/>
    </xf>
    <xf numFmtId="0" fontId="0" fillId="4" borderId="7" xfId="0" applyFill="1" applyBorder="1"/>
    <xf numFmtId="164" fontId="0" fillId="4" borderId="7" xfId="0" applyNumberFormat="1" applyFill="1" applyBorder="1"/>
    <xf numFmtId="165" fontId="0" fillId="4" borderId="7" xfId="0" applyNumberFormat="1" applyFill="1" applyBorder="1"/>
    <xf numFmtId="0" fontId="1" fillId="3" borderId="7" xfId="0" applyFont="1" applyFill="1" applyBorder="1" applyAlignment="1">
      <alignment wrapText="1"/>
    </xf>
    <xf numFmtId="0" fontId="0" fillId="3" borderId="7" xfId="0" applyFill="1" applyBorder="1"/>
    <xf numFmtId="164" fontId="0" fillId="3" borderId="7" xfId="0" applyNumberFormat="1" applyFill="1" applyBorder="1"/>
    <xf numFmtId="165" fontId="0" fillId="3" borderId="7" xfId="0" applyNumberFormat="1" applyFill="1" applyBorder="1"/>
    <xf numFmtId="0" fontId="1" fillId="5" borderId="7" xfId="0" applyFont="1" applyFill="1" applyBorder="1" applyAlignment="1">
      <alignment wrapText="1"/>
    </xf>
    <xf numFmtId="0" fontId="0" fillId="5" borderId="7" xfId="0" applyFill="1" applyBorder="1"/>
    <xf numFmtId="164" fontId="0" fillId="5" borderId="7" xfId="0" applyNumberFormat="1" applyFill="1" applyBorder="1"/>
    <xf numFmtId="165" fontId="0" fillId="5" borderId="7" xfId="0" applyNumberForma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 applyAlignment="1"/>
    <xf numFmtId="0" fontId="5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>
      <alignment horizontal="right"/>
    </xf>
    <xf numFmtId="10" fontId="6" fillId="0" borderId="4" xfId="0" applyNumberFormat="1" applyFont="1" applyBorder="1" applyAlignment="1">
      <alignment horizontal="right"/>
    </xf>
    <xf numFmtId="0" fontId="6" fillId="0" borderId="5" xfId="0" applyFont="1" applyBorder="1" applyAlignment="1"/>
    <xf numFmtId="0" fontId="6" fillId="0" borderId="6" xfId="0" applyFont="1" applyBorder="1" applyAlignment="1">
      <alignment horizontal="right"/>
    </xf>
    <xf numFmtId="0" fontId="3" fillId="7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5" fillId="0" borderId="0" xfId="0" applyFont="1" applyBorder="1" applyAlignment="1"/>
    <xf numFmtId="0" fontId="6" fillId="0" borderId="0" xfId="0" applyFont="1" applyBorder="1" applyAlignment="1">
      <alignment horizontal="right"/>
    </xf>
    <xf numFmtId="10" fontId="6" fillId="0" borderId="0" xfId="0" applyNumberFormat="1" applyFont="1" applyBorder="1" applyAlignment="1">
      <alignment horizontal="righ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rgb="FF000000"/>
        </right>
        <top style="thin">
          <color auto="1"/>
        </top>
        <bottom style="thin">
          <color auto="1"/>
        </bottom>
        <vertical/>
        <horizontal/>
      </border>
    </dxf>
    <dxf>
      <font>
        <sz val="16"/>
      </font>
    </dxf>
    <dxf>
      <font>
        <sz val="16"/>
      </font>
    </dxf>
    <dxf>
      <font>
        <sz val="16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Recruitment Funnel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Funnel_Summary!$A$2:$A$6</c:f>
              <c:strCache>
                <c:ptCount val="5"/>
                <c:pt idx="0">
                  <c:v>Total Applications</c:v>
                </c:pt>
                <c:pt idx="1">
                  <c:v>Passed Screening</c:v>
                </c:pt>
                <c:pt idx="2">
                  <c:v>Passed Interview</c:v>
                </c:pt>
                <c:pt idx="3">
                  <c:v>Got Offer</c:v>
                </c:pt>
                <c:pt idx="4">
                  <c:v>Accepted Offer</c:v>
                </c:pt>
              </c:strCache>
            </c:strRef>
          </c:cat>
          <c:val>
            <c:numRef>
              <c:f>Funnel_Summary!$B$2:$B$6</c:f>
              <c:numCache>
                <c:formatCode>General</c:formatCode>
                <c:ptCount val="5"/>
                <c:pt idx="0">
                  <c:v>1500</c:v>
                </c:pt>
                <c:pt idx="1">
                  <c:v>1069</c:v>
                </c:pt>
                <c:pt idx="2">
                  <c:v>773</c:v>
                </c:pt>
                <c:pt idx="3">
                  <c:v>549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2-4AFE-8C13-FCC6AFD033C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Funnel_Summary!$A$2:$A$6</c:f>
              <c:strCache>
                <c:ptCount val="5"/>
                <c:pt idx="0">
                  <c:v>Total Applications</c:v>
                </c:pt>
                <c:pt idx="1">
                  <c:v>Passed Screening</c:v>
                </c:pt>
                <c:pt idx="2">
                  <c:v>Passed Interview</c:v>
                </c:pt>
                <c:pt idx="3">
                  <c:v>Got Offer</c:v>
                </c:pt>
                <c:pt idx="4">
                  <c:v>Accepted Offer</c:v>
                </c:pt>
              </c:strCache>
            </c:strRef>
          </c:cat>
          <c:val>
            <c:numRef>
              <c:f>Funnel_Summary!$C$2:$C$6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57B2-4AFE-8C13-FCC6AFD03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8855688"/>
        <c:axId val="894444040"/>
      </c:barChart>
      <c:catAx>
        <c:axId val="958855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44040"/>
        <c:crosses val="autoZero"/>
        <c:auto val="1"/>
        <c:lblAlgn val="ctr"/>
        <c:lblOffset val="100"/>
        <c:noMultiLvlLbl val="0"/>
      </c:catAx>
      <c:valAx>
        <c:axId val="89444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55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Department_Analysis!$A$2:$A$7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Operations</c:v>
                </c:pt>
                <c:pt idx="3">
                  <c:v>Marketing</c:v>
                </c:pt>
                <c:pt idx="4">
                  <c:v>Sales</c:v>
                </c:pt>
                <c:pt idx="5">
                  <c:v>HR</c:v>
                </c:pt>
              </c:strCache>
            </c:strRef>
          </c:cat>
          <c:val>
            <c:numRef>
              <c:f>Department_Analysis!$B$2:$B$7</c:f>
              <c:numCache>
                <c:formatCode>General</c:formatCode>
                <c:ptCount val="6"/>
                <c:pt idx="0">
                  <c:v>29.652777777777779</c:v>
                </c:pt>
                <c:pt idx="1">
                  <c:v>25.484848484848484</c:v>
                </c:pt>
                <c:pt idx="2">
                  <c:v>22.346153846153847</c:v>
                </c:pt>
                <c:pt idx="3">
                  <c:v>22.19047619047619</c:v>
                </c:pt>
                <c:pt idx="4">
                  <c:v>18.984375</c:v>
                </c:pt>
                <c:pt idx="5">
                  <c:v>15.913043478260869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F-4602-8814-1CE41D0C2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71815"/>
        <c:axId val="22188039"/>
      </c:barChart>
      <c:catAx>
        <c:axId val="2207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8039"/>
        <c:crosses val="autoZero"/>
        <c:auto val="1"/>
        <c:lblAlgn val="ctr"/>
        <c:lblOffset val="100"/>
        <c:noMultiLvlLbl val="0"/>
      </c:catAx>
      <c:valAx>
        <c:axId val="22188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Recruiter Hiring Effectiveness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Recruiter_Scorecard!$D$1</c:f>
              <c:strCache>
                <c:ptCount val="1"/>
                <c:pt idx="0">
                  <c:v>Hire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Recruiter_Scorecard!$A$2:$A$6</c:f>
              <c:strCache>
                <c:ptCount val="5"/>
                <c:pt idx="0">
                  <c:v>Priya S</c:v>
                </c:pt>
                <c:pt idx="1">
                  <c:v>Rahul M</c:v>
                </c:pt>
                <c:pt idx="2">
                  <c:v>Anita K</c:v>
                </c:pt>
                <c:pt idx="3">
                  <c:v>Deepak R</c:v>
                </c:pt>
                <c:pt idx="4">
                  <c:v>Sneha T</c:v>
                </c:pt>
              </c:strCache>
            </c:strRef>
          </c:cat>
          <c:val>
            <c:numRef>
              <c:f>Recruiter_Scorecard!$D$2:$D$6</c:f>
              <c:numCache>
                <c:formatCode>0.0%</c:formatCode>
                <c:ptCount val="5"/>
                <c:pt idx="0">
                  <c:v>0.17313432835820897</c:v>
                </c:pt>
                <c:pt idx="1">
                  <c:v>0.1708185053380783</c:v>
                </c:pt>
                <c:pt idx="2">
                  <c:v>0.16887417218543047</c:v>
                </c:pt>
                <c:pt idx="3">
                  <c:v>0.16666666666666666</c:v>
                </c:pt>
                <c:pt idx="4">
                  <c:v>0.18484848484848485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E76-837F-DA8738216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28551"/>
        <c:axId val="74030599"/>
      </c:barChart>
      <c:catAx>
        <c:axId val="7402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0599"/>
        <c:crosses val="autoZero"/>
        <c:auto val="1"/>
        <c:lblAlgn val="ctr"/>
        <c:lblOffset val="100"/>
        <c:noMultiLvlLbl val="0"/>
      </c:catAx>
      <c:valAx>
        <c:axId val="74030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9E8EF7-D1D3-9A19-8F11-F5154067B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9525</xdr:rowOff>
    </xdr:from>
    <xdr:to>
      <xdr:col>13</xdr:col>
      <xdr:colOff>304800</xdr:colOff>
      <xdr:row>17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C6D75-FB98-775D-F077-933A3B947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266700</xdr:rowOff>
    </xdr:from>
    <xdr:to>
      <xdr:col>15</xdr:col>
      <xdr:colOff>304800</xdr:colOff>
      <xdr:row>15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FC13BE-0121-0366-35E6-154212D2D536}"/>
            </a:ext>
            <a:ext uri="{147F2762-F138-4A5C-976F-8EAC2B608ADB}">
              <a16:predDERef xmlns:a16="http://schemas.microsoft.com/office/drawing/2014/main" pred="{9651B4CB-587A-A0D4-3F31-0C2BAF3E0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19050</xdr:rowOff>
    </xdr:from>
    <xdr:to>
      <xdr:col>2</xdr:col>
      <xdr:colOff>571500</xdr:colOff>
      <xdr:row>8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EBBBFC-7080-3CF7-D5F3-023FB821D0F9}"/>
            </a:ext>
          </a:extLst>
        </xdr:cNvPr>
        <xdr:cNvSpPr/>
      </xdr:nvSpPr>
      <xdr:spPr>
        <a:xfrm>
          <a:off x="9525" y="990600"/>
          <a:ext cx="1781175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Total Applications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1500</a:t>
          </a:r>
        </a:p>
      </xdr:txBody>
    </xdr:sp>
    <xdr:clientData/>
  </xdr:twoCellAnchor>
  <xdr:twoCellAnchor>
    <xdr:from>
      <xdr:col>3</xdr:col>
      <xdr:colOff>200025</xdr:colOff>
      <xdr:row>4</xdr:row>
      <xdr:rowOff>19050</xdr:rowOff>
    </xdr:from>
    <xdr:to>
      <xdr:col>7</xdr:col>
      <xdr:colOff>171450</xdr:colOff>
      <xdr:row>8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8D88840-A964-4A0B-86D2-8F438D52B373}"/>
            </a:ext>
            <a:ext uri="{147F2762-F138-4A5C-976F-8EAC2B608ADB}">
              <a16:predDERef xmlns:a16="http://schemas.microsoft.com/office/drawing/2014/main" pred="{C3EBBBFC-7080-3CF7-D5F3-023FB821D0F9}"/>
            </a:ext>
          </a:extLst>
        </xdr:cNvPr>
        <xdr:cNvSpPr/>
      </xdr:nvSpPr>
      <xdr:spPr>
        <a:xfrm>
          <a:off x="2028825" y="990600"/>
          <a:ext cx="2409825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Overall Hire Rate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17.3%</a:t>
          </a:r>
        </a:p>
      </xdr:txBody>
    </xdr:sp>
    <xdr:clientData/>
  </xdr:twoCellAnchor>
  <xdr:twoCellAnchor>
    <xdr:from>
      <xdr:col>7</xdr:col>
      <xdr:colOff>438150</xdr:colOff>
      <xdr:row>4</xdr:row>
      <xdr:rowOff>28575</xdr:rowOff>
    </xdr:from>
    <xdr:to>
      <xdr:col>11</xdr:col>
      <xdr:colOff>419100</xdr:colOff>
      <xdr:row>8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3B0815D-BF09-4869-93E6-F70DAB9203F6}"/>
            </a:ext>
            <a:ext uri="{147F2762-F138-4A5C-976F-8EAC2B608ADB}">
              <a16:predDERef xmlns:a16="http://schemas.microsoft.com/office/drawing/2014/main" pred="{A8D88840-A964-4A0B-86D2-8F438D52B373}"/>
            </a:ext>
          </a:extLst>
        </xdr:cNvPr>
        <xdr:cNvSpPr/>
      </xdr:nvSpPr>
      <xdr:spPr>
        <a:xfrm>
          <a:off x="4705350" y="1000125"/>
          <a:ext cx="241935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Average Time To Hire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22.4 Days</a:t>
          </a:r>
        </a:p>
      </xdr:txBody>
    </xdr:sp>
    <xdr:clientData/>
  </xdr:twoCellAnchor>
  <xdr:twoCellAnchor>
    <xdr:from>
      <xdr:col>12</xdr:col>
      <xdr:colOff>476250</xdr:colOff>
      <xdr:row>4</xdr:row>
      <xdr:rowOff>38100</xdr:rowOff>
    </xdr:from>
    <xdr:to>
      <xdr:col>16</xdr:col>
      <xdr:colOff>114300</xdr:colOff>
      <xdr:row>8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4ABD465-C0E4-41B4-B55F-742E6A50FF7B}"/>
            </a:ext>
            <a:ext uri="{147F2762-F138-4A5C-976F-8EAC2B608ADB}">
              <a16:predDERef xmlns:a16="http://schemas.microsoft.com/office/drawing/2014/main" pred="{43B0815D-BF09-4869-93E6-F70DAB9203F6}"/>
            </a:ext>
          </a:extLst>
        </xdr:cNvPr>
        <xdr:cNvSpPr/>
      </xdr:nvSpPr>
      <xdr:spPr>
        <a:xfrm>
          <a:off x="7791450" y="1009650"/>
          <a:ext cx="146685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Best Recruiter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Sneha T(18.5%)</a:t>
          </a:r>
        </a:p>
        <a:p>
          <a:pPr marL="0" indent="0" algn="ctr"/>
          <a:endParaRPr lang="en-US" sz="16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18.5%</a:t>
          </a:r>
        </a:p>
      </xdr:txBody>
    </xdr:sp>
    <xdr:clientData/>
  </xdr:twoCellAnchor>
  <xdr:twoCellAnchor>
    <xdr:from>
      <xdr:col>17</xdr:col>
      <xdr:colOff>47625</xdr:colOff>
      <xdr:row>4</xdr:row>
      <xdr:rowOff>38100</xdr:rowOff>
    </xdr:from>
    <xdr:to>
      <xdr:col>21</xdr:col>
      <xdr:colOff>552450</xdr:colOff>
      <xdr:row>8</xdr:row>
      <xdr:rowOff>38100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221780E-52C9-41B5-86B8-43426A2EEBE3}"/>
            </a:ext>
            <a:ext uri="{147F2762-F138-4A5C-976F-8EAC2B608ADB}">
              <a16:predDERef xmlns:a16="http://schemas.microsoft.com/office/drawing/2014/main" pred="{A4ABD465-C0E4-41B4-B55F-742E6A50FF7B}"/>
            </a:ext>
          </a:extLst>
        </xdr:cNvPr>
        <xdr:cNvSpPr/>
      </xdr:nvSpPr>
      <xdr:spPr>
        <a:xfrm>
          <a:off x="9801225" y="1009650"/>
          <a:ext cx="2943225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Fastest Department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HR(15.9 Days)</a:t>
          </a:r>
        </a:p>
      </xdr:txBody>
    </xdr:sp>
    <xdr:clientData/>
  </xdr:twoCellAnchor>
  <xdr:twoCellAnchor>
    <xdr:from>
      <xdr:col>0</xdr:col>
      <xdr:colOff>295275</xdr:colOff>
      <xdr:row>8</xdr:row>
      <xdr:rowOff>180975</xdr:rowOff>
    </xdr:from>
    <xdr:to>
      <xdr:col>8</xdr:col>
      <xdr:colOff>390525</xdr:colOff>
      <xdr:row>35</xdr:row>
      <xdr:rowOff>171450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A3615AF-26E7-B4EE-4DD6-7BEE7175512A}"/>
            </a:ext>
            <a:ext uri="{147F2762-F138-4A5C-976F-8EAC2B608ADB}">
              <a16:predDERef xmlns:a16="http://schemas.microsoft.com/office/drawing/2014/main" pred="{A221780E-52C9-41B5-86B8-43426A2EEBE3}"/>
            </a:ext>
          </a:extLst>
        </xdr:cNvPr>
        <xdr:cNvSpPr/>
      </xdr:nvSpPr>
      <xdr:spPr>
        <a:xfrm>
          <a:off x="295275" y="1914525"/>
          <a:ext cx="4972050" cy="5133975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EXECUTIVE SUMMARY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• Total Applications Processed: 1,500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• Overall Hiring Conversion Rate: 17.3%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• Engineering has the longest hiring cycle: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29.7 days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• HR is the fastest hiring department: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15.9 days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• Sneha T achieved highest recruiter efficiency: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18.5% hire rate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• Reducing Engineering hiring time to HR benchmark</a:t>
          </a:r>
        </a:p>
        <a:p>
          <a:pPr marL="0" indent="0" algn="l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could save approximately 13.8 days per vacancy.</a:t>
          </a:r>
        </a:p>
      </xdr:txBody>
    </xdr:sp>
    <xdr:clientData/>
  </xdr:twoCellAnchor>
  <xdr:twoCellAnchor>
    <xdr:from>
      <xdr:col>8</xdr:col>
      <xdr:colOff>523875</xdr:colOff>
      <xdr:row>13</xdr:row>
      <xdr:rowOff>57150</xdr:rowOff>
    </xdr:from>
    <xdr:to>
      <xdr:col>12</xdr:col>
      <xdr:colOff>457200</xdr:colOff>
      <xdr:row>16</xdr:row>
      <xdr:rowOff>123825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8D21C4A2-1E80-4B7B-A98A-3838A26AB10B}"/>
            </a:ext>
            <a:ext uri="{147F2762-F138-4A5C-976F-8EAC2B608ADB}">
              <a16:predDERef xmlns:a16="http://schemas.microsoft.com/office/drawing/2014/main" pred="{8A3615AF-26E7-B4EE-4DD6-7BEE7175512A}"/>
            </a:ext>
          </a:extLst>
        </xdr:cNvPr>
        <xdr:cNvSpPr/>
      </xdr:nvSpPr>
      <xdr:spPr>
        <a:xfrm>
          <a:off x="5400675" y="2743200"/>
          <a:ext cx="2371725" cy="6381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Recruitment Volume</a:t>
          </a:r>
        </a:p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HEALTHY</a:t>
          </a:r>
        </a:p>
      </xdr:txBody>
    </xdr:sp>
    <xdr:clientData/>
  </xdr:twoCellAnchor>
  <xdr:twoCellAnchor>
    <xdr:from>
      <xdr:col>12</xdr:col>
      <xdr:colOff>600075</xdr:colOff>
      <xdr:row>13</xdr:row>
      <xdr:rowOff>47625</xdr:rowOff>
    </xdr:from>
    <xdr:to>
      <xdr:col>17</xdr:col>
      <xdr:colOff>485775</xdr:colOff>
      <xdr:row>16</xdr:row>
      <xdr:rowOff>152400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CCC94777-8786-4209-9E2E-8E1856F25AE3}"/>
            </a:ext>
            <a:ext uri="{147F2762-F138-4A5C-976F-8EAC2B608ADB}">
              <a16:predDERef xmlns:a16="http://schemas.microsoft.com/office/drawing/2014/main" pred="{8D21C4A2-1E80-4B7B-A98A-3838A26AB10B}"/>
            </a:ext>
          </a:extLst>
        </xdr:cNvPr>
        <xdr:cNvSpPr/>
      </xdr:nvSpPr>
      <xdr:spPr>
        <a:xfrm>
          <a:off x="7915275" y="2733675"/>
          <a:ext cx="2324100" cy="6762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Marketing Hiring</a:t>
          </a:r>
        </a:p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MONITOR</a:t>
          </a:r>
        </a:p>
      </xdr:txBody>
    </xdr:sp>
    <xdr:clientData/>
  </xdr:twoCellAnchor>
  <xdr:twoCellAnchor>
    <xdr:from>
      <xdr:col>18</xdr:col>
      <xdr:colOff>0</xdr:colOff>
      <xdr:row>13</xdr:row>
      <xdr:rowOff>47625</xdr:rowOff>
    </xdr:from>
    <xdr:to>
      <xdr:col>21</xdr:col>
      <xdr:colOff>514350</xdr:colOff>
      <xdr:row>16</xdr:row>
      <xdr:rowOff>152400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F95EA60B-D4EC-485A-837E-A88AEF06B90F}"/>
            </a:ext>
            <a:ext uri="{147F2762-F138-4A5C-976F-8EAC2B608ADB}">
              <a16:predDERef xmlns:a16="http://schemas.microsoft.com/office/drawing/2014/main" pred="{CCC94777-8786-4209-9E2E-8E1856F25AE3}"/>
            </a:ext>
          </a:extLst>
        </xdr:cNvPr>
        <xdr:cNvSpPr/>
      </xdr:nvSpPr>
      <xdr:spPr>
        <a:xfrm>
          <a:off x="10363200" y="2733675"/>
          <a:ext cx="2343150" cy="6762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Engineering Hiring Time</a:t>
          </a:r>
        </a:p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ACTION REQUIRED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D224B-D10F-4DB1-8EEA-8711C2DFCDCF}" name="Table1" displayName="Table1" ref="A1:C7" totalsRowShown="0" headerRowDxfId="7" headerRowBorderDxfId="5" tableBorderDxfId="6" totalsRowBorderDxfId="4">
  <autoFilter ref="A1:C7" xr:uid="{933D224B-D10F-4DB1-8EEA-8711C2DFCDCF}"/>
  <sortState xmlns:xlrd2="http://schemas.microsoft.com/office/spreadsheetml/2017/richdata2" ref="A2:C7">
    <sortCondition descending="1" ref="B1:B7"/>
  </sortState>
  <tableColumns count="3">
    <tableColumn id="1" xr3:uid="{8764DF6F-ED17-4224-B14E-C413E050E510}" name="Department"/>
    <tableColumn id="2" xr3:uid="{74ED4451-74FC-41B2-8184-72A878895F9C}" name="Avg Time To Hire">
      <calculatedColumnFormula>AVERAGEIFS(Raw_Data!V:V,Raw_Data!B:B,A2,Raw_Data!R:R,1)</calculatedColumnFormula>
    </tableColumn>
    <tableColumn id="3" xr3:uid="{FB329865-8600-4E1B-9172-7B242A61A5FE}" name="Hire Count">
      <calculatedColumnFormula>COUNTIFS(Raw_Data!B:B,A2,Raw_Data!R:R,1)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F223E-D0BF-44B8-A56A-256186D9BC91}" name="Table2" displayName="Table2" ref="L20:M27" totalsRowShown="0" headerRowDxfId="3" dataDxfId="2">
  <autoFilter ref="L20:M27" xr:uid="{AFFF223E-D0BF-44B8-A56A-256186D9BC91}"/>
  <tableColumns count="2">
    <tableColumn id="1" xr3:uid="{7B7B3B99-C0A0-455A-8A98-30446BFF2B0B}" name="Column1" dataDxfId="1"/>
    <tableColumn id="2" xr3:uid="{5184664A-43CB-4FF2-B10A-0EFA4B3E24CA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1"/>
  <sheetViews>
    <sheetView topLeftCell="M3" workbookViewId="0">
      <selection activeCell="H38" sqref="H38"/>
    </sheetView>
  </sheetViews>
  <sheetFormatPr defaultRowHeight="15"/>
  <cols>
    <col min="1" max="1" width="17.5703125" customWidth="1"/>
    <col min="2" max="2" width="11.28515625" bestFit="1" customWidth="1"/>
    <col min="3" max="3" width="9.42578125" bestFit="1" customWidth="1"/>
    <col min="4" max="4" width="16.85546875" bestFit="1" customWidth="1"/>
    <col min="6" max="6" width="14.5703125" bestFit="1" customWidth="1"/>
    <col min="7" max="7" width="10.42578125" bestFit="1" customWidth="1"/>
    <col min="8" max="8" width="11.28515625" bestFit="1" customWidth="1"/>
    <col min="9" max="9" width="7.140625" bestFit="1" customWidth="1"/>
    <col min="10" max="10" width="15.5703125" bestFit="1" customWidth="1"/>
    <col min="11" max="11" width="14.28515625" bestFit="1" customWidth="1"/>
    <col min="12" max="12" width="14" bestFit="1" customWidth="1"/>
    <col min="13" max="13" width="11.140625" bestFit="1" customWidth="1"/>
    <col min="14" max="14" width="11.7109375" bestFit="1" customWidth="1"/>
    <col min="15" max="15" width="16.28515625" bestFit="1" customWidth="1"/>
    <col min="16" max="16" width="16.140625" bestFit="1" customWidth="1"/>
    <col min="17" max="17" width="9" bestFit="1" customWidth="1"/>
    <col min="18" max="18" width="14.140625" bestFit="1" customWidth="1"/>
    <col min="19" max="19" width="17.5703125" bestFit="1" customWidth="1"/>
    <col min="20" max="20" width="17.42578125" bestFit="1" customWidth="1"/>
    <col min="21" max="21" width="14.85546875" bestFit="1" customWidth="1"/>
    <col min="22" max="22" width="17.28515625" bestFit="1" customWidth="1"/>
    <col min="23" max="23" width="16.140625" bestFit="1" customWidth="1"/>
    <col min="24" max="24" width="13.42578125" bestFit="1" customWidth="1"/>
    <col min="25" max="25" width="21.7109375" bestFit="1" customWidth="1"/>
  </cols>
  <sheetData>
    <row r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1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2">
        <v>45222</v>
      </c>
      <c r="K2" s="2">
        <v>45223</v>
      </c>
      <c r="L2" s="2">
        <v>45232</v>
      </c>
      <c r="M2" s="2">
        <v>45238</v>
      </c>
      <c r="N2" s="2">
        <v>45239</v>
      </c>
      <c r="O2">
        <v>1</v>
      </c>
      <c r="P2">
        <v>0</v>
      </c>
      <c r="Q2">
        <v>0</v>
      </c>
      <c r="R2">
        <v>0</v>
      </c>
      <c r="S2">
        <v>0</v>
      </c>
      <c r="T2" t="s">
        <v>34</v>
      </c>
      <c r="U2">
        <v>71</v>
      </c>
      <c r="W2">
        <v>0</v>
      </c>
    </row>
    <row r="3" spans="1:25">
      <c r="A3" s="1" t="s">
        <v>35</v>
      </c>
      <c r="B3" t="s">
        <v>36</v>
      </c>
      <c r="C3" t="s">
        <v>37</v>
      </c>
      <c r="D3" t="s">
        <v>28</v>
      </c>
      <c r="E3" t="s">
        <v>29</v>
      </c>
      <c r="F3" t="s">
        <v>38</v>
      </c>
      <c r="G3" t="s">
        <v>39</v>
      </c>
      <c r="H3" t="s">
        <v>40</v>
      </c>
      <c r="I3" t="s">
        <v>41</v>
      </c>
      <c r="J3" s="2">
        <v>44967</v>
      </c>
      <c r="K3" s="2">
        <v>44971</v>
      </c>
      <c r="L3" s="2">
        <v>44981</v>
      </c>
      <c r="M3" s="2">
        <v>44988</v>
      </c>
      <c r="N3" s="2">
        <v>44983</v>
      </c>
      <c r="O3">
        <v>1</v>
      </c>
      <c r="P3">
        <v>1</v>
      </c>
      <c r="Q3">
        <v>0</v>
      </c>
      <c r="R3">
        <v>0</v>
      </c>
      <c r="S3">
        <v>1</v>
      </c>
      <c r="T3" t="s">
        <v>34</v>
      </c>
      <c r="U3">
        <v>90</v>
      </c>
      <c r="W3">
        <v>1</v>
      </c>
    </row>
    <row r="4" spans="1:25">
      <c r="A4" s="1" t="s">
        <v>42</v>
      </c>
      <c r="B4" t="s">
        <v>43</v>
      </c>
      <c r="C4" t="s">
        <v>37</v>
      </c>
      <c r="D4" t="s">
        <v>44</v>
      </c>
      <c r="E4" t="s">
        <v>29</v>
      </c>
      <c r="F4" t="s">
        <v>38</v>
      </c>
      <c r="G4" t="s">
        <v>45</v>
      </c>
      <c r="H4" t="s">
        <v>32</v>
      </c>
      <c r="I4" t="s">
        <v>33</v>
      </c>
      <c r="J4" s="2">
        <v>45044</v>
      </c>
      <c r="K4" s="2">
        <v>45046</v>
      </c>
      <c r="L4" s="2">
        <v>45052</v>
      </c>
      <c r="M4" s="2">
        <v>45054</v>
      </c>
      <c r="N4" s="2">
        <v>45070</v>
      </c>
      <c r="O4">
        <v>1</v>
      </c>
      <c r="P4">
        <v>0</v>
      </c>
      <c r="Q4">
        <v>0</v>
      </c>
      <c r="R4">
        <v>0</v>
      </c>
      <c r="S4">
        <v>0</v>
      </c>
      <c r="T4" t="s">
        <v>34</v>
      </c>
      <c r="U4">
        <v>48</v>
      </c>
      <c r="W4">
        <v>4</v>
      </c>
    </row>
    <row r="5" spans="1:25">
      <c r="A5" s="1" t="s">
        <v>46</v>
      </c>
      <c r="B5" t="s">
        <v>26</v>
      </c>
      <c r="C5" t="s">
        <v>47</v>
      </c>
      <c r="D5" t="s">
        <v>44</v>
      </c>
      <c r="E5" t="s">
        <v>29</v>
      </c>
      <c r="F5" t="s">
        <v>48</v>
      </c>
      <c r="G5" t="s">
        <v>45</v>
      </c>
      <c r="H5" t="s">
        <v>32</v>
      </c>
      <c r="I5" t="s">
        <v>41</v>
      </c>
      <c r="J5" s="2">
        <v>45013</v>
      </c>
      <c r="K5" s="2">
        <v>45017</v>
      </c>
      <c r="L5" s="2">
        <v>45023</v>
      </c>
      <c r="M5" s="2">
        <v>45026</v>
      </c>
      <c r="N5" s="2">
        <v>45034</v>
      </c>
      <c r="O5">
        <v>1</v>
      </c>
      <c r="P5">
        <v>1</v>
      </c>
      <c r="Q5">
        <v>1</v>
      </c>
      <c r="R5">
        <v>0</v>
      </c>
      <c r="S5">
        <v>1</v>
      </c>
      <c r="T5" t="s">
        <v>49</v>
      </c>
      <c r="U5">
        <v>64</v>
      </c>
      <c r="W5">
        <v>11</v>
      </c>
      <c r="X5">
        <v>2535292</v>
      </c>
      <c r="Y5" t="s">
        <v>50</v>
      </c>
    </row>
    <row r="6" spans="1:25">
      <c r="A6" s="1" t="s">
        <v>51</v>
      </c>
      <c r="B6" t="s">
        <v>26</v>
      </c>
      <c r="C6" t="s">
        <v>47</v>
      </c>
      <c r="D6" t="s">
        <v>52</v>
      </c>
      <c r="E6" t="s">
        <v>29</v>
      </c>
      <c r="F6" t="s">
        <v>38</v>
      </c>
      <c r="G6" t="s">
        <v>39</v>
      </c>
      <c r="H6" t="s">
        <v>32</v>
      </c>
      <c r="I6" t="s">
        <v>41</v>
      </c>
      <c r="J6" s="2">
        <v>45012</v>
      </c>
      <c r="K6" s="2">
        <v>45017</v>
      </c>
      <c r="L6" s="2">
        <v>45021</v>
      </c>
      <c r="M6" s="2">
        <v>45023</v>
      </c>
      <c r="N6" s="2">
        <v>45036</v>
      </c>
      <c r="O6">
        <v>1</v>
      </c>
      <c r="P6">
        <v>0</v>
      </c>
      <c r="Q6">
        <v>0</v>
      </c>
      <c r="R6">
        <v>0</v>
      </c>
      <c r="S6">
        <v>0</v>
      </c>
      <c r="T6" t="s">
        <v>34</v>
      </c>
      <c r="U6">
        <v>58</v>
      </c>
      <c r="W6">
        <v>11</v>
      </c>
    </row>
    <row r="7" spans="1:25">
      <c r="A7" s="1" t="s">
        <v>53</v>
      </c>
      <c r="B7" t="s">
        <v>43</v>
      </c>
      <c r="C7" t="s">
        <v>27</v>
      </c>
      <c r="D7" t="s">
        <v>28</v>
      </c>
      <c r="E7" t="s">
        <v>54</v>
      </c>
      <c r="F7" t="s">
        <v>38</v>
      </c>
      <c r="G7" t="s">
        <v>55</v>
      </c>
      <c r="H7" t="s">
        <v>56</v>
      </c>
      <c r="I7" t="s">
        <v>41</v>
      </c>
      <c r="J7" s="2">
        <v>45320</v>
      </c>
      <c r="K7" s="2">
        <v>45323</v>
      </c>
      <c r="L7" s="2">
        <v>45332</v>
      </c>
      <c r="M7" s="2">
        <v>45338</v>
      </c>
      <c r="N7" s="2">
        <v>45335</v>
      </c>
      <c r="O7">
        <v>1</v>
      </c>
      <c r="P7">
        <v>0</v>
      </c>
      <c r="Q7">
        <v>0</v>
      </c>
      <c r="R7">
        <v>0</v>
      </c>
      <c r="S7">
        <v>0</v>
      </c>
      <c r="T7" t="s">
        <v>34</v>
      </c>
      <c r="U7">
        <v>45</v>
      </c>
      <c r="W7">
        <v>1</v>
      </c>
    </row>
    <row r="8" spans="1:25">
      <c r="A8" s="1" t="s">
        <v>57</v>
      </c>
      <c r="B8" t="s">
        <v>58</v>
      </c>
      <c r="C8" t="s">
        <v>37</v>
      </c>
      <c r="D8" t="s">
        <v>59</v>
      </c>
      <c r="E8" t="s">
        <v>54</v>
      </c>
      <c r="F8" t="s">
        <v>30</v>
      </c>
      <c r="G8" t="s">
        <v>60</v>
      </c>
      <c r="H8" t="s">
        <v>40</v>
      </c>
      <c r="I8" t="s">
        <v>41</v>
      </c>
      <c r="J8" s="2">
        <v>45033</v>
      </c>
      <c r="K8" s="2">
        <v>45035</v>
      </c>
      <c r="L8" s="2">
        <v>45040</v>
      </c>
      <c r="M8" s="2">
        <v>45046</v>
      </c>
      <c r="N8" s="2">
        <v>45050</v>
      </c>
      <c r="O8">
        <v>1</v>
      </c>
      <c r="P8">
        <v>1</v>
      </c>
      <c r="Q8">
        <v>1</v>
      </c>
      <c r="R8">
        <v>1</v>
      </c>
      <c r="S8">
        <v>0</v>
      </c>
      <c r="T8" t="s">
        <v>61</v>
      </c>
      <c r="U8">
        <v>59</v>
      </c>
      <c r="V8">
        <v>17</v>
      </c>
      <c r="W8">
        <v>1</v>
      </c>
      <c r="X8">
        <v>739732</v>
      </c>
    </row>
    <row r="9" spans="1:25">
      <c r="A9" s="1" t="s">
        <v>62</v>
      </c>
      <c r="B9" t="s">
        <v>43</v>
      </c>
      <c r="C9" t="s">
        <v>37</v>
      </c>
      <c r="D9" t="s">
        <v>28</v>
      </c>
      <c r="E9" t="s">
        <v>63</v>
      </c>
      <c r="F9" t="s">
        <v>64</v>
      </c>
      <c r="G9" t="s">
        <v>60</v>
      </c>
      <c r="H9" t="s">
        <v>40</v>
      </c>
      <c r="I9" t="s">
        <v>33</v>
      </c>
      <c r="J9" s="2">
        <v>45194</v>
      </c>
      <c r="K9" s="2">
        <v>45195</v>
      </c>
      <c r="L9" s="2">
        <v>45200</v>
      </c>
      <c r="M9" s="2">
        <v>45205</v>
      </c>
      <c r="N9" s="2">
        <v>45212</v>
      </c>
      <c r="O9">
        <v>1</v>
      </c>
      <c r="P9">
        <v>0</v>
      </c>
      <c r="Q9">
        <v>0</v>
      </c>
      <c r="R9">
        <v>0</v>
      </c>
      <c r="S9">
        <v>0</v>
      </c>
      <c r="T9" t="s">
        <v>34</v>
      </c>
      <c r="U9">
        <v>82</v>
      </c>
      <c r="W9">
        <v>2</v>
      </c>
    </row>
    <row r="10" spans="1:25">
      <c r="A10" s="1" t="s">
        <v>65</v>
      </c>
      <c r="B10" t="s">
        <v>36</v>
      </c>
      <c r="C10" t="s">
        <v>27</v>
      </c>
      <c r="D10" t="s">
        <v>28</v>
      </c>
      <c r="E10" t="s">
        <v>66</v>
      </c>
      <c r="F10" t="s">
        <v>67</v>
      </c>
      <c r="G10" t="s">
        <v>31</v>
      </c>
      <c r="H10" t="s">
        <v>32</v>
      </c>
      <c r="I10" t="s">
        <v>41</v>
      </c>
      <c r="J10" s="2">
        <v>45417</v>
      </c>
      <c r="K10" s="2">
        <v>45418</v>
      </c>
      <c r="L10" s="2">
        <v>45421</v>
      </c>
      <c r="M10" s="2">
        <v>45423</v>
      </c>
      <c r="N10" s="2">
        <v>45431</v>
      </c>
      <c r="O10">
        <v>1</v>
      </c>
      <c r="P10">
        <v>1</v>
      </c>
      <c r="Q10">
        <v>1</v>
      </c>
      <c r="R10">
        <v>0</v>
      </c>
      <c r="S10">
        <v>0</v>
      </c>
      <c r="T10" t="s">
        <v>49</v>
      </c>
      <c r="U10">
        <v>53</v>
      </c>
      <c r="W10">
        <v>2</v>
      </c>
      <c r="X10">
        <v>550299</v>
      </c>
      <c r="Y10" t="s">
        <v>68</v>
      </c>
    </row>
    <row r="11" spans="1:25">
      <c r="A11" s="1" t="s">
        <v>69</v>
      </c>
      <c r="B11" t="s">
        <v>70</v>
      </c>
      <c r="C11" t="s">
        <v>71</v>
      </c>
      <c r="D11" t="s">
        <v>59</v>
      </c>
      <c r="E11" t="s">
        <v>54</v>
      </c>
      <c r="F11" t="s">
        <v>38</v>
      </c>
      <c r="G11" t="s">
        <v>60</v>
      </c>
      <c r="H11" t="s">
        <v>56</v>
      </c>
      <c r="I11" t="s">
        <v>41</v>
      </c>
      <c r="J11" s="2">
        <v>45434</v>
      </c>
      <c r="K11" s="2">
        <v>45436</v>
      </c>
      <c r="L11" s="2">
        <v>45446</v>
      </c>
      <c r="M11" s="2">
        <v>45448</v>
      </c>
      <c r="N11" s="2">
        <v>45466</v>
      </c>
      <c r="O11">
        <v>1</v>
      </c>
      <c r="P11">
        <v>1</v>
      </c>
      <c r="Q11">
        <v>0</v>
      </c>
      <c r="R11">
        <v>0</v>
      </c>
      <c r="S11">
        <v>0</v>
      </c>
      <c r="T11" t="s">
        <v>34</v>
      </c>
      <c r="U11">
        <v>67</v>
      </c>
      <c r="W11">
        <v>6</v>
      </c>
    </row>
    <row r="12" spans="1:25">
      <c r="A12" s="1" t="s">
        <v>72</v>
      </c>
      <c r="B12" t="s">
        <v>36</v>
      </c>
      <c r="C12" t="s">
        <v>71</v>
      </c>
      <c r="D12" t="s">
        <v>73</v>
      </c>
      <c r="E12" t="s">
        <v>66</v>
      </c>
      <c r="F12" t="s">
        <v>48</v>
      </c>
      <c r="G12" t="s">
        <v>39</v>
      </c>
      <c r="H12" t="s">
        <v>32</v>
      </c>
      <c r="I12" t="s">
        <v>33</v>
      </c>
      <c r="J12" s="2">
        <v>45261</v>
      </c>
      <c r="K12" s="2">
        <v>45264</v>
      </c>
      <c r="L12" s="2">
        <v>45269</v>
      </c>
      <c r="M12" s="2">
        <v>45275</v>
      </c>
      <c r="N12" s="2">
        <v>45288</v>
      </c>
      <c r="O12">
        <v>0</v>
      </c>
      <c r="P12">
        <v>0</v>
      </c>
      <c r="Q12">
        <v>0</v>
      </c>
      <c r="R12">
        <v>0</v>
      </c>
      <c r="S12">
        <v>1</v>
      </c>
      <c r="T12" t="s">
        <v>74</v>
      </c>
      <c r="U12">
        <v>82</v>
      </c>
      <c r="W12">
        <v>7</v>
      </c>
    </row>
    <row r="13" spans="1:25">
      <c r="A13" s="1" t="s">
        <v>75</v>
      </c>
      <c r="B13" t="s">
        <v>43</v>
      </c>
      <c r="C13" t="s">
        <v>71</v>
      </c>
      <c r="D13" t="s">
        <v>73</v>
      </c>
      <c r="E13" t="s">
        <v>54</v>
      </c>
      <c r="F13" t="s">
        <v>76</v>
      </c>
      <c r="G13" t="s">
        <v>60</v>
      </c>
      <c r="H13" t="s">
        <v>56</v>
      </c>
      <c r="I13" t="s">
        <v>41</v>
      </c>
      <c r="J13" s="2">
        <v>45459</v>
      </c>
      <c r="K13" s="2">
        <v>45464</v>
      </c>
      <c r="L13" s="2">
        <v>45473</v>
      </c>
      <c r="M13" s="2">
        <v>45475</v>
      </c>
      <c r="N13" s="2">
        <v>45478</v>
      </c>
      <c r="O13">
        <v>1</v>
      </c>
      <c r="P13">
        <v>0</v>
      </c>
      <c r="Q13">
        <v>0</v>
      </c>
      <c r="R13">
        <v>0</v>
      </c>
      <c r="S13">
        <v>0</v>
      </c>
      <c r="T13" t="s">
        <v>34</v>
      </c>
      <c r="U13">
        <v>48</v>
      </c>
      <c r="W13">
        <v>7</v>
      </c>
    </row>
    <row r="14" spans="1:25">
      <c r="A14" s="1" t="s">
        <v>77</v>
      </c>
      <c r="B14" t="s">
        <v>26</v>
      </c>
      <c r="C14" t="s">
        <v>78</v>
      </c>
      <c r="D14" t="s">
        <v>28</v>
      </c>
      <c r="E14" t="s">
        <v>29</v>
      </c>
      <c r="F14" t="s">
        <v>76</v>
      </c>
      <c r="G14" t="s">
        <v>39</v>
      </c>
      <c r="H14" t="s">
        <v>56</v>
      </c>
      <c r="I14" t="s">
        <v>33</v>
      </c>
      <c r="J14" s="2">
        <v>44989</v>
      </c>
      <c r="K14" s="2">
        <v>44990</v>
      </c>
      <c r="L14" s="2">
        <v>45000</v>
      </c>
      <c r="M14" s="2">
        <v>45003</v>
      </c>
      <c r="N14" s="2">
        <v>45004</v>
      </c>
      <c r="O14">
        <v>1</v>
      </c>
      <c r="P14">
        <v>1</v>
      </c>
      <c r="Q14">
        <v>1</v>
      </c>
      <c r="R14">
        <v>0</v>
      </c>
      <c r="S14">
        <v>0</v>
      </c>
      <c r="T14" t="s">
        <v>49</v>
      </c>
      <c r="U14">
        <v>73</v>
      </c>
      <c r="W14">
        <v>7</v>
      </c>
      <c r="X14">
        <v>1747659</v>
      </c>
      <c r="Y14" t="s">
        <v>68</v>
      </c>
    </row>
    <row r="15" spans="1:25">
      <c r="A15" s="1" t="s">
        <v>79</v>
      </c>
      <c r="B15" t="s">
        <v>70</v>
      </c>
      <c r="C15" t="s">
        <v>71</v>
      </c>
      <c r="D15" t="s">
        <v>52</v>
      </c>
      <c r="E15" t="s">
        <v>54</v>
      </c>
      <c r="F15" t="s">
        <v>76</v>
      </c>
      <c r="G15" t="s">
        <v>39</v>
      </c>
      <c r="H15" t="s">
        <v>40</v>
      </c>
      <c r="I15" t="s">
        <v>41</v>
      </c>
      <c r="J15" s="2">
        <v>45091</v>
      </c>
      <c r="K15" s="2">
        <v>45093</v>
      </c>
      <c r="L15" s="2">
        <v>45098</v>
      </c>
      <c r="M15" s="2">
        <v>45105</v>
      </c>
      <c r="N15" s="2">
        <v>45116</v>
      </c>
      <c r="O15">
        <v>1</v>
      </c>
      <c r="P15">
        <v>1</v>
      </c>
      <c r="Q15">
        <v>1</v>
      </c>
      <c r="R15">
        <v>0</v>
      </c>
      <c r="S15">
        <v>0</v>
      </c>
      <c r="T15" t="s">
        <v>49</v>
      </c>
      <c r="U15">
        <v>46</v>
      </c>
      <c r="W15">
        <v>7</v>
      </c>
      <c r="X15">
        <v>1273153</v>
      </c>
      <c r="Y15" t="s">
        <v>80</v>
      </c>
    </row>
    <row r="16" spans="1:25">
      <c r="A16" s="1" t="s">
        <v>81</v>
      </c>
      <c r="B16" t="s">
        <v>58</v>
      </c>
      <c r="C16" t="s">
        <v>47</v>
      </c>
      <c r="D16" t="s">
        <v>44</v>
      </c>
      <c r="E16" t="s">
        <v>66</v>
      </c>
      <c r="F16" t="s">
        <v>38</v>
      </c>
      <c r="G16" t="s">
        <v>60</v>
      </c>
      <c r="H16" t="s">
        <v>40</v>
      </c>
      <c r="I16" t="s">
        <v>41</v>
      </c>
      <c r="J16" s="2">
        <v>45139</v>
      </c>
      <c r="K16" s="2">
        <v>45142</v>
      </c>
      <c r="L16" s="2">
        <v>45148</v>
      </c>
      <c r="M16" s="2">
        <v>45154</v>
      </c>
      <c r="N16" s="2">
        <v>45151</v>
      </c>
      <c r="O16">
        <v>0</v>
      </c>
      <c r="P16">
        <v>0</v>
      </c>
      <c r="Q16">
        <v>0</v>
      </c>
      <c r="R16">
        <v>0</v>
      </c>
      <c r="S16">
        <v>1</v>
      </c>
      <c r="T16" t="s">
        <v>74</v>
      </c>
      <c r="U16">
        <v>62</v>
      </c>
      <c r="W16">
        <v>8</v>
      </c>
    </row>
    <row r="17" spans="1:25">
      <c r="A17" s="1" t="s">
        <v>82</v>
      </c>
      <c r="B17" t="s">
        <v>26</v>
      </c>
      <c r="C17" t="s">
        <v>27</v>
      </c>
      <c r="D17" t="s">
        <v>59</v>
      </c>
      <c r="E17" t="s">
        <v>66</v>
      </c>
      <c r="F17" t="s">
        <v>38</v>
      </c>
      <c r="G17" t="s">
        <v>39</v>
      </c>
      <c r="H17" t="s">
        <v>32</v>
      </c>
      <c r="I17" t="s">
        <v>33</v>
      </c>
      <c r="J17" s="2">
        <v>45176</v>
      </c>
      <c r="K17" s="2">
        <v>45179</v>
      </c>
      <c r="L17" s="2">
        <v>45185</v>
      </c>
      <c r="M17" s="2">
        <v>45188</v>
      </c>
      <c r="N17" s="2">
        <v>45198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74</v>
      </c>
      <c r="U17">
        <v>62</v>
      </c>
      <c r="W17">
        <v>0</v>
      </c>
    </row>
    <row r="18" spans="1:25">
      <c r="A18" s="1" t="s">
        <v>83</v>
      </c>
      <c r="B18" t="s">
        <v>26</v>
      </c>
      <c r="C18" t="s">
        <v>47</v>
      </c>
      <c r="D18" t="s">
        <v>59</v>
      </c>
      <c r="E18" t="s">
        <v>29</v>
      </c>
      <c r="F18" t="s">
        <v>30</v>
      </c>
      <c r="G18" t="s">
        <v>45</v>
      </c>
      <c r="H18" t="s">
        <v>56</v>
      </c>
      <c r="I18" t="s">
        <v>33</v>
      </c>
      <c r="J18" s="2">
        <v>45155</v>
      </c>
      <c r="K18" s="2">
        <v>45158</v>
      </c>
      <c r="L18" s="2">
        <v>45163</v>
      </c>
      <c r="M18" s="2">
        <v>45166</v>
      </c>
      <c r="N18" s="2">
        <v>45167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74</v>
      </c>
      <c r="U18">
        <v>82</v>
      </c>
      <c r="W18">
        <v>8</v>
      </c>
    </row>
    <row r="19" spans="1:25">
      <c r="A19" s="1" t="s">
        <v>84</v>
      </c>
      <c r="B19" t="s">
        <v>26</v>
      </c>
      <c r="C19" t="s">
        <v>37</v>
      </c>
      <c r="D19" t="s">
        <v>28</v>
      </c>
      <c r="E19" t="s">
        <v>66</v>
      </c>
      <c r="F19" t="s">
        <v>76</v>
      </c>
      <c r="G19" t="s">
        <v>55</v>
      </c>
      <c r="H19" t="s">
        <v>32</v>
      </c>
      <c r="I19" t="s">
        <v>41</v>
      </c>
      <c r="J19" s="2">
        <v>45468</v>
      </c>
      <c r="K19" s="2">
        <v>45471</v>
      </c>
      <c r="L19" s="2">
        <v>45475</v>
      </c>
      <c r="M19" s="2">
        <v>45477</v>
      </c>
      <c r="N19" s="2">
        <v>45492</v>
      </c>
      <c r="O19">
        <v>1</v>
      </c>
      <c r="P19">
        <v>0</v>
      </c>
      <c r="Q19">
        <v>0</v>
      </c>
      <c r="R19">
        <v>0</v>
      </c>
      <c r="S19">
        <v>0</v>
      </c>
      <c r="T19" t="s">
        <v>34</v>
      </c>
      <c r="U19">
        <v>59</v>
      </c>
      <c r="W19">
        <v>4</v>
      </c>
    </row>
    <row r="20" spans="1:25">
      <c r="A20" s="1" t="s">
        <v>85</v>
      </c>
      <c r="B20" t="s">
        <v>26</v>
      </c>
      <c r="C20" t="s">
        <v>71</v>
      </c>
      <c r="D20" t="s">
        <v>73</v>
      </c>
      <c r="E20" t="s">
        <v>29</v>
      </c>
      <c r="F20" t="s">
        <v>30</v>
      </c>
      <c r="G20" t="s">
        <v>55</v>
      </c>
      <c r="H20" t="s">
        <v>56</v>
      </c>
      <c r="I20" t="s">
        <v>33</v>
      </c>
      <c r="J20" s="2">
        <v>45332</v>
      </c>
      <c r="K20" s="2">
        <v>45333</v>
      </c>
      <c r="L20" s="2">
        <v>45340</v>
      </c>
      <c r="M20" s="2">
        <v>45344</v>
      </c>
      <c r="N20" s="2">
        <v>45351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74</v>
      </c>
      <c r="U20">
        <v>74</v>
      </c>
      <c r="W20">
        <v>5</v>
      </c>
    </row>
    <row r="21" spans="1:25">
      <c r="A21" s="1" t="s">
        <v>86</v>
      </c>
      <c r="B21" t="s">
        <v>70</v>
      </c>
      <c r="C21" t="s">
        <v>37</v>
      </c>
      <c r="D21" t="s">
        <v>73</v>
      </c>
      <c r="E21" t="s">
        <v>66</v>
      </c>
      <c r="F21" t="s">
        <v>38</v>
      </c>
      <c r="G21" t="s">
        <v>55</v>
      </c>
      <c r="H21" t="s">
        <v>56</v>
      </c>
      <c r="I21" t="s">
        <v>41</v>
      </c>
      <c r="J21" s="2">
        <v>45089</v>
      </c>
      <c r="K21" s="2">
        <v>45094</v>
      </c>
      <c r="L21" s="2">
        <v>45099</v>
      </c>
      <c r="M21" s="2">
        <v>45105</v>
      </c>
      <c r="N21" s="2">
        <v>45117</v>
      </c>
      <c r="O21">
        <v>1</v>
      </c>
      <c r="P21">
        <v>1</v>
      </c>
      <c r="Q21">
        <v>1</v>
      </c>
      <c r="R21">
        <v>0</v>
      </c>
      <c r="S21">
        <v>0</v>
      </c>
      <c r="T21" t="s">
        <v>49</v>
      </c>
      <c r="U21">
        <v>75</v>
      </c>
      <c r="W21">
        <v>3</v>
      </c>
      <c r="X21">
        <v>613835</v>
      </c>
      <c r="Y21" t="s">
        <v>87</v>
      </c>
    </row>
    <row r="22" spans="1:25">
      <c r="A22" s="1" t="s">
        <v>88</v>
      </c>
      <c r="B22" t="s">
        <v>43</v>
      </c>
      <c r="C22" t="s">
        <v>47</v>
      </c>
      <c r="D22" t="s">
        <v>44</v>
      </c>
      <c r="E22" t="s">
        <v>29</v>
      </c>
      <c r="F22" t="s">
        <v>38</v>
      </c>
      <c r="G22" t="s">
        <v>39</v>
      </c>
      <c r="H22" t="s">
        <v>32</v>
      </c>
      <c r="I22" t="s">
        <v>41</v>
      </c>
      <c r="J22" s="2">
        <v>45311</v>
      </c>
      <c r="K22" s="2">
        <v>45312</v>
      </c>
      <c r="L22" s="2">
        <v>45316</v>
      </c>
      <c r="M22" s="2">
        <v>45323</v>
      </c>
      <c r="N22" s="2">
        <v>45339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74</v>
      </c>
      <c r="U22">
        <v>62</v>
      </c>
      <c r="W22">
        <v>8</v>
      </c>
    </row>
    <row r="23" spans="1:25">
      <c r="A23" s="1" t="s">
        <v>89</v>
      </c>
      <c r="B23" t="s">
        <v>90</v>
      </c>
      <c r="C23" t="s">
        <v>78</v>
      </c>
      <c r="D23" t="s">
        <v>59</v>
      </c>
      <c r="E23" t="s">
        <v>54</v>
      </c>
      <c r="F23" t="s">
        <v>38</v>
      </c>
      <c r="G23" t="s">
        <v>31</v>
      </c>
      <c r="H23" t="s">
        <v>56</v>
      </c>
      <c r="I23" t="s">
        <v>41</v>
      </c>
      <c r="J23" s="2">
        <v>45318</v>
      </c>
      <c r="K23" s="2">
        <v>45321</v>
      </c>
      <c r="L23" s="2">
        <v>45324</v>
      </c>
      <c r="M23" s="2">
        <v>45330</v>
      </c>
      <c r="N23" s="2">
        <v>45347</v>
      </c>
      <c r="O23">
        <v>1</v>
      </c>
      <c r="P23">
        <v>1</v>
      </c>
      <c r="Q23">
        <v>0</v>
      </c>
      <c r="R23">
        <v>0</v>
      </c>
      <c r="S23">
        <v>0</v>
      </c>
      <c r="T23" t="s">
        <v>34</v>
      </c>
      <c r="U23">
        <v>100</v>
      </c>
      <c r="W23">
        <v>6</v>
      </c>
    </row>
    <row r="24" spans="1:25">
      <c r="A24" s="1" t="s">
        <v>91</v>
      </c>
      <c r="B24" t="s">
        <v>26</v>
      </c>
      <c r="C24" t="s">
        <v>47</v>
      </c>
      <c r="D24" t="s">
        <v>52</v>
      </c>
      <c r="E24" t="s">
        <v>54</v>
      </c>
      <c r="F24" t="s">
        <v>30</v>
      </c>
      <c r="G24" t="s">
        <v>55</v>
      </c>
      <c r="H24" t="s">
        <v>40</v>
      </c>
      <c r="I24" t="s">
        <v>33</v>
      </c>
      <c r="J24" s="2">
        <v>45431</v>
      </c>
      <c r="K24" s="2">
        <v>45432</v>
      </c>
      <c r="L24" s="2">
        <v>45436</v>
      </c>
      <c r="M24" s="2">
        <v>45443</v>
      </c>
      <c r="N24" s="2">
        <v>45444</v>
      </c>
      <c r="O24">
        <v>1</v>
      </c>
      <c r="P24">
        <v>0</v>
      </c>
      <c r="Q24">
        <v>0</v>
      </c>
      <c r="R24">
        <v>0</v>
      </c>
      <c r="S24">
        <v>0</v>
      </c>
      <c r="T24" t="s">
        <v>34</v>
      </c>
      <c r="U24">
        <v>46</v>
      </c>
      <c r="W24">
        <v>14</v>
      </c>
    </row>
    <row r="25" spans="1:25">
      <c r="A25" s="1" t="s">
        <v>92</v>
      </c>
      <c r="B25" t="s">
        <v>43</v>
      </c>
      <c r="C25" t="s">
        <v>47</v>
      </c>
      <c r="D25" t="s">
        <v>59</v>
      </c>
      <c r="E25" t="s">
        <v>29</v>
      </c>
      <c r="F25" t="s">
        <v>48</v>
      </c>
      <c r="G25" t="s">
        <v>60</v>
      </c>
      <c r="H25" t="s">
        <v>40</v>
      </c>
      <c r="I25" t="s">
        <v>41</v>
      </c>
      <c r="J25" s="2">
        <v>45389</v>
      </c>
      <c r="K25" s="2">
        <v>45391</v>
      </c>
      <c r="L25" s="2">
        <v>45395</v>
      </c>
      <c r="M25" s="2">
        <v>45402</v>
      </c>
      <c r="N25" s="2">
        <v>45413</v>
      </c>
      <c r="O25">
        <v>1</v>
      </c>
      <c r="P25">
        <v>1</v>
      </c>
      <c r="Q25">
        <v>0</v>
      </c>
      <c r="R25">
        <v>0</v>
      </c>
      <c r="S25">
        <v>1</v>
      </c>
      <c r="T25" t="s">
        <v>34</v>
      </c>
      <c r="U25">
        <v>80</v>
      </c>
      <c r="W25">
        <v>14</v>
      </c>
    </row>
    <row r="26" spans="1:25">
      <c r="A26" s="1" t="s">
        <v>93</v>
      </c>
      <c r="B26" t="s">
        <v>26</v>
      </c>
      <c r="C26" t="s">
        <v>37</v>
      </c>
      <c r="D26" t="s">
        <v>44</v>
      </c>
      <c r="E26" t="s">
        <v>66</v>
      </c>
      <c r="F26" t="s">
        <v>67</v>
      </c>
      <c r="G26" t="s">
        <v>45</v>
      </c>
      <c r="H26" t="s">
        <v>56</v>
      </c>
      <c r="I26" t="s">
        <v>41</v>
      </c>
      <c r="J26" s="2">
        <v>45342</v>
      </c>
      <c r="K26" s="2">
        <v>45346</v>
      </c>
      <c r="L26" s="2">
        <v>45350</v>
      </c>
      <c r="M26" s="2">
        <v>45355</v>
      </c>
      <c r="N26" s="2">
        <v>45356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74</v>
      </c>
      <c r="U26">
        <v>77</v>
      </c>
      <c r="W26">
        <v>1</v>
      </c>
    </row>
    <row r="27" spans="1:25">
      <c r="A27" s="1" t="s">
        <v>94</v>
      </c>
      <c r="B27" t="s">
        <v>70</v>
      </c>
      <c r="C27" t="s">
        <v>27</v>
      </c>
      <c r="D27" t="s">
        <v>44</v>
      </c>
      <c r="E27" t="s">
        <v>63</v>
      </c>
      <c r="F27" t="s">
        <v>30</v>
      </c>
      <c r="G27" t="s">
        <v>45</v>
      </c>
      <c r="H27" t="s">
        <v>40</v>
      </c>
      <c r="I27" t="s">
        <v>41</v>
      </c>
      <c r="J27" s="2">
        <v>45273</v>
      </c>
      <c r="K27" s="2">
        <v>45275</v>
      </c>
      <c r="L27" s="2">
        <v>45282</v>
      </c>
      <c r="M27" s="2">
        <v>45286</v>
      </c>
      <c r="N27" s="2">
        <v>45309</v>
      </c>
      <c r="O27">
        <v>1</v>
      </c>
      <c r="P27">
        <v>1</v>
      </c>
      <c r="Q27">
        <v>1</v>
      </c>
      <c r="R27">
        <v>1</v>
      </c>
      <c r="S27">
        <v>0</v>
      </c>
      <c r="T27" t="s">
        <v>61</v>
      </c>
      <c r="U27">
        <v>73</v>
      </c>
      <c r="V27">
        <v>36</v>
      </c>
      <c r="W27">
        <v>2</v>
      </c>
      <c r="X27">
        <v>533642</v>
      </c>
    </row>
    <row r="28" spans="1:25">
      <c r="A28" s="1" t="s">
        <v>95</v>
      </c>
      <c r="B28" t="s">
        <v>70</v>
      </c>
      <c r="C28" t="s">
        <v>47</v>
      </c>
      <c r="D28" t="s">
        <v>73</v>
      </c>
      <c r="E28" t="s">
        <v>63</v>
      </c>
      <c r="F28" t="s">
        <v>67</v>
      </c>
      <c r="G28" t="s">
        <v>45</v>
      </c>
      <c r="H28" t="s">
        <v>40</v>
      </c>
      <c r="I28" t="s">
        <v>33</v>
      </c>
      <c r="J28" s="2">
        <v>45113</v>
      </c>
      <c r="K28" s="2">
        <v>45118</v>
      </c>
      <c r="L28" s="2">
        <v>45123</v>
      </c>
      <c r="M28" s="2">
        <v>45129</v>
      </c>
      <c r="N28" s="2">
        <v>45140</v>
      </c>
      <c r="O28">
        <v>1</v>
      </c>
      <c r="P28">
        <v>0</v>
      </c>
      <c r="Q28">
        <v>0</v>
      </c>
      <c r="R28">
        <v>0</v>
      </c>
      <c r="S28">
        <v>0</v>
      </c>
      <c r="T28" t="s">
        <v>34</v>
      </c>
      <c r="U28">
        <v>83</v>
      </c>
      <c r="W28">
        <v>11</v>
      </c>
    </row>
    <row r="29" spans="1:25">
      <c r="A29" s="1" t="s">
        <v>96</v>
      </c>
      <c r="B29" t="s">
        <v>70</v>
      </c>
      <c r="C29" t="s">
        <v>47</v>
      </c>
      <c r="D29" t="s">
        <v>73</v>
      </c>
      <c r="E29" t="s">
        <v>66</v>
      </c>
      <c r="F29" t="s">
        <v>48</v>
      </c>
      <c r="G29" t="s">
        <v>39</v>
      </c>
      <c r="H29" t="s">
        <v>56</v>
      </c>
      <c r="I29" t="s">
        <v>33</v>
      </c>
      <c r="J29" s="2">
        <v>45446</v>
      </c>
      <c r="K29" s="2">
        <v>45447</v>
      </c>
      <c r="L29" s="2">
        <v>45452</v>
      </c>
      <c r="M29" s="2">
        <v>45455</v>
      </c>
      <c r="N29" s="2">
        <v>45477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74</v>
      </c>
      <c r="U29">
        <v>55</v>
      </c>
      <c r="W29">
        <v>8</v>
      </c>
    </row>
    <row r="30" spans="1:25">
      <c r="A30" s="1" t="s">
        <v>97</v>
      </c>
      <c r="B30" t="s">
        <v>26</v>
      </c>
      <c r="C30" t="s">
        <v>37</v>
      </c>
      <c r="D30" t="s">
        <v>44</v>
      </c>
      <c r="E30" t="s">
        <v>54</v>
      </c>
      <c r="F30" t="s">
        <v>67</v>
      </c>
      <c r="G30" t="s">
        <v>31</v>
      </c>
      <c r="H30" t="s">
        <v>56</v>
      </c>
      <c r="I30" t="s">
        <v>41</v>
      </c>
      <c r="J30" s="2">
        <v>44944</v>
      </c>
      <c r="K30" s="2">
        <v>44946</v>
      </c>
      <c r="L30" s="2">
        <v>44956</v>
      </c>
      <c r="M30" s="2">
        <v>44958</v>
      </c>
      <c r="N30" s="2">
        <v>44958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74</v>
      </c>
      <c r="U30">
        <v>68</v>
      </c>
      <c r="W30">
        <v>1</v>
      </c>
    </row>
    <row r="31" spans="1:25">
      <c r="A31" s="1" t="s">
        <v>98</v>
      </c>
      <c r="B31" t="s">
        <v>26</v>
      </c>
      <c r="C31" t="s">
        <v>78</v>
      </c>
      <c r="D31" t="s">
        <v>44</v>
      </c>
      <c r="E31" t="s">
        <v>63</v>
      </c>
      <c r="F31" t="s">
        <v>30</v>
      </c>
      <c r="G31" t="s">
        <v>39</v>
      </c>
      <c r="H31" t="s">
        <v>40</v>
      </c>
      <c r="I31" t="s">
        <v>33</v>
      </c>
      <c r="J31" s="2">
        <v>45243</v>
      </c>
      <c r="K31" s="2">
        <v>45245</v>
      </c>
      <c r="L31" s="2">
        <v>45249</v>
      </c>
      <c r="M31" s="2">
        <v>45256</v>
      </c>
      <c r="N31" s="2">
        <v>45258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34</v>
      </c>
      <c r="U31">
        <v>76</v>
      </c>
      <c r="W31">
        <v>6</v>
      </c>
    </row>
    <row r="32" spans="1:25">
      <c r="A32" s="1" t="s">
        <v>99</v>
      </c>
      <c r="B32" t="s">
        <v>36</v>
      </c>
      <c r="C32" t="s">
        <v>37</v>
      </c>
      <c r="D32" t="s">
        <v>44</v>
      </c>
      <c r="E32" t="s">
        <v>54</v>
      </c>
      <c r="F32" t="s">
        <v>30</v>
      </c>
      <c r="G32" t="s">
        <v>45</v>
      </c>
      <c r="H32" t="s">
        <v>32</v>
      </c>
      <c r="I32" t="s">
        <v>41</v>
      </c>
      <c r="J32" s="2">
        <v>45024</v>
      </c>
      <c r="K32" s="2">
        <v>45026</v>
      </c>
      <c r="L32" s="2">
        <v>45031</v>
      </c>
      <c r="M32" s="2">
        <v>45035</v>
      </c>
      <c r="N32" s="2">
        <v>45053</v>
      </c>
      <c r="O32">
        <v>1</v>
      </c>
      <c r="P32">
        <v>1</v>
      </c>
      <c r="Q32">
        <v>1</v>
      </c>
      <c r="R32">
        <v>1</v>
      </c>
      <c r="S32">
        <v>0</v>
      </c>
      <c r="T32" t="s">
        <v>61</v>
      </c>
      <c r="U32">
        <v>80</v>
      </c>
      <c r="V32">
        <v>29</v>
      </c>
      <c r="W32">
        <v>2</v>
      </c>
      <c r="X32">
        <v>685814</v>
      </c>
    </row>
    <row r="33" spans="1:25">
      <c r="A33" s="1" t="s">
        <v>100</v>
      </c>
      <c r="B33" t="s">
        <v>70</v>
      </c>
      <c r="C33" t="s">
        <v>71</v>
      </c>
      <c r="D33" t="s">
        <v>59</v>
      </c>
      <c r="E33" t="s">
        <v>66</v>
      </c>
      <c r="F33" t="s">
        <v>67</v>
      </c>
      <c r="G33" t="s">
        <v>31</v>
      </c>
      <c r="H33" t="s">
        <v>40</v>
      </c>
      <c r="I33" t="s">
        <v>41</v>
      </c>
      <c r="J33" s="2">
        <v>45122</v>
      </c>
      <c r="K33" s="2">
        <v>45126</v>
      </c>
      <c r="L33" s="2">
        <v>45134</v>
      </c>
      <c r="M33" s="2">
        <v>45137</v>
      </c>
      <c r="N33" s="2">
        <v>45162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34</v>
      </c>
      <c r="U33">
        <v>51</v>
      </c>
      <c r="W33">
        <v>3</v>
      </c>
    </row>
    <row r="34" spans="1:25">
      <c r="A34" s="1" t="s">
        <v>101</v>
      </c>
      <c r="B34" t="s">
        <v>26</v>
      </c>
      <c r="C34" t="s">
        <v>27</v>
      </c>
      <c r="D34" t="s">
        <v>52</v>
      </c>
      <c r="E34" t="s">
        <v>102</v>
      </c>
      <c r="F34" t="s">
        <v>76</v>
      </c>
      <c r="G34" t="s">
        <v>45</v>
      </c>
      <c r="H34" t="s">
        <v>32</v>
      </c>
      <c r="I34" t="s">
        <v>33</v>
      </c>
      <c r="J34" s="2">
        <v>45377</v>
      </c>
      <c r="K34" s="2">
        <v>45379</v>
      </c>
      <c r="L34" s="2">
        <v>45386</v>
      </c>
      <c r="M34" s="2">
        <v>45391</v>
      </c>
      <c r="N34" s="2">
        <v>45394</v>
      </c>
      <c r="O34">
        <v>1</v>
      </c>
      <c r="P34">
        <v>1</v>
      </c>
      <c r="Q34">
        <v>0</v>
      </c>
      <c r="R34">
        <v>0</v>
      </c>
      <c r="S34">
        <v>0</v>
      </c>
      <c r="T34" t="s">
        <v>34</v>
      </c>
      <c r="U34">
        <v>57</v>
      </c>
      <c r="W34">
        <v>2</v>
      </c>
    </row>
    <row r="35" spans="1:25">
      <c r="A35" s="1" t="s">
        <v>103</v>
      </c>
      <c r="B35" t="s">
        <v>26</v>
      </c>
      <c r="C35" t="s">
        <v>71</v>
      </c>
      <c r="D35" t="s">
        <v>73</v>
      </c>
      <c r="E35" t="s">
        <v>66</v>
      </c>
      <c r="F35" t="s">
        <v>76</v>
      </c>
      <c r="G35" t="s">
        <v>39</v>
      </c>
      <c r="H35" t="s">
        <v>40</v>
      </c>
      <c r="I35" t="s">
        <v>33</v>
      </c>
      <c r="J35" s="2">
        <v>45270</v>
      </c>
      <c r="K35" s="2">
        <v>45274</v>
      </c>
      <c r="L35" s="2">
        <v>45279</v>
      </c>
      <c r="M35" s="2">
        <v>45284</v>
      </c>
      <c r="N35" s="2">
        <v>45285</v>
      </c>
      <c r="O35">
        <v>1</v>
      </c>
      <c r="P35">
        <v>0</v>
      </c>
      <c r="Q35">
        <v>0</v>
      </c>
      <c r="R35">
        <v>0</v>
      </c>
      <c r="S35">
        <v>1</v>
      </c>
      <c r="T35" t="s">
        <v>34</v>
      </c>
      <c r="U35">
        <v>76</v>
      </c>
      <c r="W35">
        <v>7</v>
      </c>
    </row>
    <row r="36" spans="1:25">
      <c r="A36" s="1" t="s">
        <v>104</v>
      </c>
      <c r="B36" t="s">
        <v>43</v>
      </c>
      <c r="C36" t="s">
        <v>71</v>
      </c>
      <c r="D36" t="s">
        <v>59</v>
      </c>
      <c r="E36" t="s">
        <v>29</v>
      </c>
      <c r="F36" t="s">
        <v>64</v>
      </c>
      <c r="G36" t="s">
        <v>39</v>
      </c>
      <c r="H36" t="s">
        <v>40</v>
      </c>
      <c r="I36" t="s">
        <v>33</v>
      </c>
      <c r="J36" s="2">
        <v>45293</v>
      </c>
      <c r="K36" s="2">
        <v>45297</v>
      </c>
      <c r="L36" s="2">
        <v>45305</v>
      </c>
      <c r="M36" s="2">
        <v>45310</v>
      </c>
      <c r="N36" s="2">
        <v>45317</v>
      </c>
      <c r="O36">
        <v>1</v>
      </c>
      <c r="P36">
        <v>1</v>
      </c>
      <c r="Q36">
        <v>0</v>
      </c>
      <c r="R36">
        <v>0</v>
      </c>
      <c r="S36">
        <v>0</v>
      </c>
      <c r="T36" t="s">
        <v>34</v>
      </c>
      <c r="U36">
        <v>67</v>
      </c>
      <c r="W36">
        <v>7</v>
      </c>
    </row>
    <row r="37" spans="1:25">
      <c r="A37" s="1" t="s">
        <v>105</v>
      </c>
      <c r="B37" t="s">
        <v>43</v>
      </c>
      <c r="C37" t="s">
        <v>71</v>
      </c>
      <c r="D37" t="s">
        <v>44</v>
      </c>
      <c r="E37" t="s">
        <v>102</v>
      </c>
      <c r="F37" t="s">
        <v>76</v>
      </c>
      <c r="G37" t="s">
        <v>39</v>
      </c>
      <c r="H37" t="s">
        <v>32</v>
      </c>
      <c r="I37" t="s">
        <v>33</v>
      </c>
      <c r="J37" s="2">
        <v>44969</v>
      </c>
      <c r="K37" s="2">
        <v>44973</v>
      </c>
      <c r="L37" s="2">
        <v>44979</v>
      </c>
      <c r="M37" s="2">
        <v>44984</v>
      </c>
      <c r="N37" s="2">
        <v>44997</v>
      </c>
      <c r="O37">
        <v>1</v>
      </c>
      <c r="P37">
        <v>0</v>
      </c>
      <c r="Q37">
        <v>0</v>
      </c>
      <c r="R37">
        <v>0</v>
      </c>
      <c r="S37">
        <v>0</v>
      </c>
      <c r="T37" t="s">
        <v>34</v>
      </c>
      <c r="U37">
        <v>91</v>
      </c>
      <c r="W37">
        <v>6</v>
      </c>
    </row>
    <row r="38" spans="1:25">
      <c r="A38" s="1" t="s">
        <v>106</v>
      </c>
      <c r="B38" t="s">
        <v>43</v>
      </c>
      <c r="C38" t="s">
        <v>71</v>
      </c>
      <c r="D38" t="s">
        <v>44</v>
      </c>
      <c r="E38" t="s">
        <v>54</v>
      </c>
      <c r="F38" t="s">
        <v>48</v>
      </c>
      <c r="G38" t="s">
        <v>55</v>
      </c>
      <c r="H38" t="s">
        <v>32</v>
      </c>
      <c r="I38" t="s">
        <v>41</v>
      </c>
      <c r="J38" s="2">
        <v>45286</v>
      </c>
      <c r="K38" s="2">
        <v>45288</v>
      </c>
      <c r="L38" s="2">
        <v>45294</v>
      </c>
      <c r="M38" s="2">
        <v>45297</v>
      </c>
      <c r="N38" s="2">
        <v>45301</v>
      </c>
      <c r="O38">
        <v>1</v>
      </c>
      <c r="P38">
        <v>1</v>
      </c>
      <c r="Q38">
        <v>1</v>
      </c>
      <c r="R38">
        <v>1</v>
      </c>
      <c r="S38">
        <v>0</v>
      </c>
      <c r="T38" t="s">
        <v>61</v>
      </c>
      <c r="U38">
        <v>58</v>
      </c>
      <c r="V38">
        <v>15</v>
      </c>
      <c r="W38">
        <v>7</v>
      </c>
      <c r="X38">
        <v>1144053</v>
      </c>
    </row>
    <row r="39" spans="1:25">
      <c r="A39" s="1" t="s">
        <v>107</v>
      </c>
      <c r="B39" t="s">
        <v>90</v>
      </c>
      <c r="C39" t="s">
        <v>78</v>
      </c>
      <c r="D39" t="s">
        <v>52</v>
      </c>
      <c r="E39" t="s">
        <v>102</v>
      </c>
      <c r="F39" t="s">
        <v>76</v>
      </c>
      <c r="G39" t="s">
        <v>55</v>
      </c>
      <c r="H39" t="s">
        <v>56</v>
      </c>
      <c r="I39" t="s">
        <v>33</v>
      </c>
      <c r="J39" s="2">
        <v>45268</v>
      </c>
      <c r="K39" s="2">
        <v>45269</v>
      </c>
      <c r="L39" s="2">
        <v>45272</v>
      </c>
      <c r="M39" s="2">
        <v>45276</v>
      </c>
      <c r="N39" s="2">
        <v>45290</v>
      </c>
      <c r="O39">
        <v>1</v>
      </c>
      <c r="P39">
        <v>1</v>
      </c>
      <c r="Q39">
        <v>1</v>
      </c>
      <c r="R39">
        <v>1</v>
      </c>
      <c r="S39">
        <v>0</v>
      </c>
      <c r="T39" t="s">
        <v>61</v>
      </c>
      <c r="U39">
        <v>90</v>
      </c>
      <c r="V39">
        <v>22</v>
      </c>
      <c r="W39">
        <v>8</v>
      </c>
      <c r="X39">
        <v>1635814</v>
      </c>
    </row>
    <row r="40" spans="1:25">
      <c r="A40" s="1" t="s">
        <v>108</v>
      </c>
      <c r="B40" t="s">
        <v>58</v>
      </c>
      <c r="C40" t="s">
        <v>47</v>
      </c>
      <c r="D40" t="s">
        <v>73</v>
      </c>
      <c r="E40" t="s">
        <v>54</v>
      </c>
      <c r="F40" t="s">
        <v>48</v>
      </c>
      <c r="G40" t="s">
        <v>60</v>
      </c>
      <c r="H40" t="s">
        <v>32</v>
      </c>
      <c r="I40" t="s">
        <v>33</v>
      </c>
      <c r="J40" s="2">
        <v>44965</v>
      </c>
      <c r="K40" s="2">
        <v>44967</v>
      </c>
      <c r="L40" s="2">
        <v>44976</v>
      </c>
      <c r="M40" s="2">
        <v>44983</v>
      </c>
      <c r="N40" s="2">
        <v>44980</v>
      </c>
      <c r="O40">
        <v>1</v>
      </c>
      <c r="P40">
        <v>0</v>
      </c>
      <c r="Q40">
        <v>0</v>
      </c>
      <c r="R40">
        <v>0</v>
      </c>
      <c r="S40">
        <v>1</v>
      </c>
      <c r="T40" t="s">
        <v>34</v>
      </c>
      <c r="U40">
        <v>46</v>
      </c>
      <c r="W40">
        <v>13</v>
      </c>
    </row>
    <row r="41" spans="1:25">
      <c r="A41" s="1" t="s">
        <v>109</v>
      </c>
      <c r="B41" t="s">
        <v>43</v>
      </c>
      <c r="C41" t="s">
        <v>47</v>
      </c>
      <c r="D41" t="s">
        <v>73</v>
      </c>
      <c r="E41" t="s">
        <v>66</v>
      </c>
      <c r="F41" t="s">
        <v>38</v>
      </c>
      <c r="G41" t="s">
        <v>45</v>
      </c>
      <c r="H41" t="s">
        <v>32</v>
      </c>
      <c r="I41" t="s">
        <v>41</v>
      </c>
      <c r="J41" s="2">
        <v>45433</v>
      </c>
      <c r="K41" s="2">
        <v>45434</v>
      </c>
      <c r="L41" s="2">
        <v>45442</v>
      </c>
      <c r="M41" s="2">
        <v>45448</v>
      </c>
      <c r="N41" s="2">
        <v>45456</v>
      </c>
      <c r="O41">
        <v>1</v>
      </c>
      <c r="P41">
        <v>1</v>
      </c>
      <c r="Q41">
        <v>1</v>
      </c>
      <c r="R41">
        <v>0</v>
      </c>
      <c r="S41">
        <v>0</v>
      </c>
      <c r="T41" t="s">
        <v>49</v>
      </c>
      <c r="U41">
        <v>67</v>
      </c>
      <c r="W41">
        <v>15</v>
      </c>
      <c r="X41">
        <v>2233217</v>
      </c>
      <c r="Y41" t="s">
        <v>87</v>
      </c>
    </row>
    <row r="42" spans="1:25">
      <c r="A42" s="1" t="s">
        <v>110</v>
      </c>
      <c r="B42" t="s">
        <v>70</v>
      </c>
      <c r="C42" t="s">
        <v>71</v>
      </c>
      <c r="D42" t="s">
        <v>52</v>
      </c>
      <c r="E42" t="s">
        <v>29</v>
      </c>
      <c r="F42" t="s">
        <v>48</v>
      </c>
      <c r="G42" t="s">
        <v>45</v>
      </c>
      <c r="H42" t="s">
        <v>40</v>
      </c>
      <c r="I42" t="s">
        <v>41</v>
      </c>
      <c r="J42" s="2">
        <v>45238</v>
      </c>
      <c r="K42" s="2">
        <v>45243</v>
      </c>
      <c r="L42" s="2">
        <v>45246</v>
      </c>
      <c r="M42" s="2">
        <v>45249</v>
      </c>
      <c r="N42" s="2">
        <v>45260</v>
      </c>
      <c r="O42">
        <v>1</v>
      </c>
      <c r="P42">
        <v>1</v>
      </c>
      <c r="Q42">
        <v>1</v>
      </c>
      <c r="R42">
        <v>1</v>
      </c>
      <c r="S42">
        <v>0</v>
      </c>
      <c r="T42" t="s">
        <v>61</v>
      </c>
      <c r="U42">
        <v>79</v>
      </c>
      <c r="V42">
        <v>22</v>
      </c>
      <c r="W42">
        <v>6</v>
      </c>
      <c r="X42">
        <v>927813</v>
      </c>
    </row>
    <row r="43" spans="1:25">
      <c r="A43" s="1" t="s">
        <v>111</v>
      </c>
      <c r="B43" t="s">
        <v>26</v>
      </c>
      <c r="C43" t="s">
        <v>37</v>
      </c>
      <c r="D43" t="s">
        <v>52</v>
      </c>
      <c r="E43" t="s">
        <v>29</v>
      </c>
      <c r="F43" t="s">
        <v>48</v>
      </c>
      <c r="G43" t="s">
        <v>31</v>
      </c>
      <c r="H43" t="s">
        <v>32</v>
      </c>
      <c r="I43" t="s">
        <v>41</v>
      </c>
      <c r="J43" s="2">
        <v>44964</v>
      </c>
      <c r="K43" s="2">
        <v>44965</v>
      </c>
      <c r="L43" s="2">
        <v>44969</v>
      </c>
      <c r="M43" s="2">
        <v>44976</v>
      </c>
      <c r="N43" s="2">
        <v>44989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74</v>
      </c>
      <c r="U43">
        <v>45</v>
      </c>
      <c r="W43">
        <v>3</v>
      </c>
    </row>
    <row r="44" spans="1:25">
      <c r="A44" s="1" t="s">
        <v>112</v>
      </c>
      <c r="B44" t="s">
        <v>36</v>
      </c>
      <c r="C44" t="s">
        <v>71</v>
      </c>
      <c r="D44" t="s">
        <v>59</v>
      </c>
      <c r="E44" t="s">
        <v>29</v>
      </c>
      <c r="F44" t="s">
        <v>67</v>
      </c>
      <c r="G44" t="s">
        <v>31</v>
      </c>
      <c r="H44" t="s">
        <v>40</v>
      </c>
      <c r="I44" t="s">
        <v>33</v>
      </c>
      <c r="J44" s="2">
        <v>45202</v>
      </c>
      <c r="K44" s="2">
        <v>45207</v>
      </c>
      <c r="L44" s="2">
        <v>45216</v>
      </c>
      <c r="M44" s="2">
        <v>45220</v>
      </c>
      <c r="N44" s="2">
        <v>45216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74</v>
      </c>
      <c r="U44">
        <v>87</v>
      </c>
      <c r="W44">
        <v>5</v>
      </c>
    </row>
    <row r="45" spans="1:25">
      <c r="A45" s="1" t="s">
        <v>113</v>
      </c>
      <c r="B45" t="s">
        <v>26</v>
      </c>
      <c r="C45" t="s">
        <v>37</v>
      </c>
      <c r="D45" t="s">
        <v>73</v>
      </c>
      <c r="E45" t="s">
        <v>54</v>
      </c>
      <c r="F45" t="s">
        <v>67</v>
      </c>
      <c r="G45" t="s">
        <v>31</v>
      </c>
      <c r="H45" t="s">
        <v>56</v>
      </c>
      <c r="I45" t="s">
        <v>33</v>
      </c>
      <c r="J45" s="2">
        <v>45049</v>
      </c>
      <c r="K45" s="2">
        <v>45052</v>
      </c>
      <c r="L45" s="2">
        <v>45059</v>
      </c>
      <c r="M45" s="2">
        <v>45066</v>
      </c>
      <c r="N45" s="2">
        <v>45065</v>
      </c>
      <c r="O45">
        <v>1</v>
      </c>
      <c r="P45">
        <v>0</v>
      </c>
      <c r="Q45">
        <v>0</v>
      </c>
      <c r="R45">
        <v>0</v>
      </c>
      <c r="S45">
        <v>0</v>
      </c>
      <c r="T45" t="s">
        <v>34</v>
      </c>
      <c r="U45">
        <v>77</v>
      </c>
      <c r="W45">
        <v>3</v>
      </c>
    </row>
    <row r="46" spans="1:25">
      <c r="A46" s="1" t="s">
        <v>114</v>
      </c>
      <c r="B46" t="s">
        <v>58</v>
      </c>
      <c r="C46" t="s">
        <v>78</v>
      </c>
      <c r="D46" t="s">
        <v>28</v>
      </c>
      <c r="E46" t="s">
        <v>102</v>
      </c>
      <c r="F46" t="s">
        <v>76</v>
      </c>
      <c r="G46" t="s">
        <v>45</v>
      </c>
      <c r="H46" t="s">
        <v>32</v>
      </c>
      <c r="I46" t="s">
        <v>41</v>
      </c>
      <c r="J46" s="2">
        <v>45208</v>
      </c>
      <c r="K46" s="2">
        <v>45210</v>
      </c>
      <c r="L46" s="2">
        <v>45219</v>
      </c>
      <c r="M46" s="2">
        <v>45225</v>
      </c>
      <c r="N46" s="2">
        <v>45220</v>
      </c>
      <c r="O46">
        <v>0</v>
      </c>
      <c r="P46">
        <v>0</v>
      </c>
      <c r="Q46">
        <v>0</v>
      </c>
      <c r="R46">
        <v>0</v>
      </c>
      <c r="S46">
        <v>1</v>
      </c>
      <c r="T46" t="s">
        <v>74</v>
      </c>
      <c r="U46">
        <v>66</v>
      </c>
      <c r="W46">
        <v>8</v>
      </c>
    </row>
    <row r="47" spans="1:25">
      <c r="A47" s="1" t="s">
        <v>115</v>
      </c>
      <c r="B47" t="s">
        <v>36</v>
      </c>
      <c r="C47" t="s">
        <v>27</v>
      </c>
      <c r="D47" t="s">
        <v>44</v>
      </c>
      <c r="E47" t="s">
        <v>29</v>
      </c>
      <c r="F47" t="s">
        <v>30</v>
      </c>
      <c r="G47" t="s">
        <v>31</v>
      </c>
      <c r="H47" t="s">
        <v>56</v>
      </c>
      <c r="I47" t="s">
        <v>41</v>
      </c>
      <c r="J47" s="2">
        <v>45084</v>
      </c>
      <c r="K47" s="2">
        <v>45087</v>
      </c>
      <c r="L47" s="2">
        <v>45097</v>
      </c>
      <c r="M47" s="2">
        <v>45102</v>
      </c>
      <c r="N47" s="2">
        <v>45104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74</v>
      </c>
      <c r="U47">
        <v>81</v>
      </c>
      <c r="W47">
        <v>1</v>
      </c>
    </row>
    <row r="48" spans="1:25">
      <c r="A48" s="1" t="s">
        <v>116</v>
      </c>
      <c r="B48" t="s">
        <v>43</v>
      </c>
      <c r="C48" t="s">
        <v>37</v>
      </c>
      <c r="D48" t="s">
        <v>59</v>
      </c>
      <c r="E48" t="s">
        <v>102</v>
      </c>
      <c r="F48" t="s">
        <v>67</v>
      </c>
      <c r="G48" t="s">
        <v>60</v>
      </c>
      <c r="H48" t="s">
        <v>32</v>
      </c>
      <c r="I48" t="s">
        <v>41</v>
      </c>
      <c r="J48" s="2">
        <v>45227</v>
      </c>
      <c r="K48" s="2">
        <v>45228</v>
      </c>
      <c r="L48" s="2">
        <v>45238</v>
      </c>
      <c r="M48" s="2">
        <v>45241</v>
      </c>
      <c r="N48" s="2">
        <v>45255</v>
      </c>
      <c r="O48">
        <v>1</v>
      </c>
      <c r="P48">
        <v>1</v>
      </c>
      <c r="Q48">
        <v>1</v>
      </c>
      <c r="R48">
        <v>0</v>
      </c>
      <c r="S48">
        <v>0</v>
      </c>
      <c r="T48" t="s">
        <v>49</v>
      </c>
      <c r="U48">
        <v>66</v>
      </c>
      <c r="W48">
        <v>4</v>
      </c>
      <c r="X48">
        <v>867938</v>
      </c>
      <c r="Y48" t="s">
        <v>68</v>
      </c>
    </row>
    <row r="49" spans="1:25">
      <c r="A49" s="1" t="s">
        <v>117</v>
      </c>
      <c r="B49" t="s">
        <v>70</v>
      </c>
      <c r="C49" t="s">
        <v>37</v>
      </c>
      <c r="D49" t="s">
        <v>44</v>
      </c>
      <c r="E49" t="s">
        <v>54</v>
      </c>
      <c r="F49" t="s">
        <v>48</v>
      </c>
      <c r="G49" t="s">
        <v>31</v>
      </c>
      <c r="H49" t="s">
        <v>32</v>
      </c>
      <c r="I49" t="s">
        <v>41</v>
      </c>
      <c r="J49" s="2">
        <v>45278</v>
      </c>
      <c r="K49" s="2">
        <v>45279</v>
      </c>
      <c r="L49" s="2">
        <v>45289</v>
      </c>
      <c r="M49" s="2">
        <v>45291</v>
      </c>
      <c r="N49" s="2">
        <v>45302</v>
      </c>
      <c r="O49">
        <v>1</v>
      </c>
      <c r="P49">
        <v>1</v>
      </c>
      <c r="Q49">
        <v>1</v>
      </c>
      <c r="R49">
        <v>1</v>
      </c>
      <c r="S49">
        <v>0</v>
      </c>
      <c r="T49" t="s">
        <v>61</v>
      </c>
      <c r="U49">
        <v>71</v>
      </c>
      <c r="V49">
        <v>24</v>
      </c>
      <c r="W49">
        <v>3</v>
      </c>
      <c r="X49">
        <v>557742</v>
      </c>
    </row>
    <row r="50" spans="1:25">
      <c r="A50" s="1" t="s">
        <v>118</v>
      </c>
      <c r="B50" t="s">
        <v>36</v>
      </c>
      <c r="C50" t="s">
        <v>78</v>
      </c>
      <c r="D50" t="s">
        <v>59</v>
      </c>
      <c r="E50" t="s">
        <v>54</v>
      </c>
      <c r="F50" t="s">
        <v>67</v>
      </c>
      <c r="G50" t="s">
        <v>45</v>
      </c>
      <c r="H50" t="s">
        <v>40</v>
      </c>
      <c r="I50" t="s">
        <v>41</v>
      </c>
      <c r="J50" s="2">
        <v>45214</v>
      </c>
      <c r="K50" s="2">
        <v>45216</v>
      </c>
      <c r="L50" s="2">
        <v>45226</v>
      </c>
      <c r="M50" s="2">
        <v>45230</v>
      </c>
      <c r="N50" s="2">
        <v>45239</v>
      </c>
      <c r="O50">
        <v>0</v>
      </c>
      <c r="P50">
        <v>0</v>
      </c>
      <c r="Q50">
        <v>0</v>
      </c>
      <c r="R50">
        <v>0</v>
      </c>
      <c r="S50">
        <v>1</v>
      </c>
      <c r="T50" t="s">
        <v>74</v>
      </c>
      <c r="U50">
        <v>61</v>
      </c>
      <c r="W50">
        <v>6</v>
      </c>
    </row>
    <row r="51" spans="1:25">
      <c r="A51" s="1" t="s">
        <v>119</v>
      </c>
      <c r="B51" t="s">
        <v>58</v>
      </c>
      <c r="C51" t="s">
        <v>27</v>
      </c>
      <c r="D51" t="s">
        <v>28</v>
      </c>
      <c r="E51" t="s">
        <v>54</v>
      </c>
      <c r="F51" t="s">
        <v>48</v>
      </c>
      <c r="G51" t="s">
        <v>60</v>
      </c>
      <c r="H51" t="s">
        <v>56</v>
      </c>
      <c r="I51" t="s">
        <v>41</v>
      </c>
      <c r="J51" s="2">
        <v>45340</v>
      </c>
      <c r="K51" s="2">
        <v>45345</v>
      </c>
      <c r="L51" s="2">
        <v>45349</v>
      </c>
      <c r="M51" s="2">
        <v>45354</v>
      </c>
      <c r="N51" s="2">
        <v>45356</v>
      </c>
      <c r="O51">
        <v>0</v>
      </c>
      <c r="P51">
        <v>0</v>
      </c>
      <c r="Q51">
        <v>0</v>
      </c>
      <c r="R51">
        <v>0</v>
      </c>
      <c r="S51">
        <v>1</v>
      </c>
      <c r="T51" t="s">
        <v>74</v>
      </c>
      <c r="U51">
        <v>87</v>
      </c>
      <c r="W51">
        <v>1</v>
      </c>
    </row>
    <row r="52" spans="1:25">
      <c r="A52" s="1" t="s">
        <v>120</v>
      </c>
      <c r="B52" t="s">
        <v>43</v>
      </c>
      <c r="C52" t="s">
        <v>37</v>
      </c>
      <c r="D52" t="s">
        <v>73</v>
      </c>
      <c r="E52" t="s">
        <v>29</v>
      </c>
      <c r="F52" t="s">
        <v>48</v>
      </c>
      <c r="G52" t="s">
        <v>45</v>
      </c>
      <c r="H52" t="s">
        <v>56</v>
      </c>
      <c r="I52" t="s">
        <v>33</v>
      </c>
      <c r="J52" s="2">
        <v>45338</v>
      </c>
      <c r="K52" s="2">
        <v>45340</v>
      </c>
      <c r="L52" s="2">
        <v>45345</v>
      </c>
      <c r="M52" s="2">
        <v>45347</v>
      </c>
      <c r="N52" s="2">
        <v>45361</v>
      </c>
      <c r="O52">
        <v>1</v>
      </c>
      <c r="P52">
        <v>1</v>
      </c>
      <c r="Q52">
        <v>1</v>
      </c>
      <c r="R52">
        <v>1</v>
      </c>
      <c r="S52">
        <v>0</v>
      </c>
      <c r="T52" t="s">
        <v>61</v>
      </c>
      <c r="U52">
        <v>68</v>
      </c>
      <c r="V52">
        <v>23</v>
      </c>
      <c r="W52">
        <v>1</v>
      </c>
      <c r="X52">
        <v>613835</v>
      </c>
    </row>
    <row r="53" spans="1:25">
      <c r="A53" s="1" t="s">
        <v>121</v>
      </c>
      <c r="B53" t="s">
        <v>90</v>
      </c>
      <c r="C53" t="s">
        <v>27</v>
      </c>
      <c r="D53" t="s">
        <v>44</v>
      </c>
      <c r="E53" t="s">
        <v>29</v>
      </c>
      <c r="F53" t="s">
        <v>67</v>
      </c>
      <c r="G53" t="s">
        <v>45</v>
      </c>
      <c r="H53" t="s">
        <v>40</v>
      </c>
      <c r="I53" t="s">
        <v>41</v>
      </c>
      <c r="J53" s="2">
        <v>45143</v>
      </c>
      <c r="K53" s="2">
        <v>45148</v>
      </c>
      <c r="L53" s="2">
        <v>45153</v>
      </c>
      <c r="M53" s="2">
        <v>45155</v>
      </c>
      <c r="N53" s="2">
        <v>45170</v>
      </c>
      <c r="O53">
        <v>1</v>
      </c>
      <c r="P53">
        <v>1</v>
      </c>
      <c r="Q53">
        <v>1</v>
      </c>
      <c r="R53">
        <v>1</v>
      </c>
      <c r="S53">
        <v>0</v>
      </c>
      <c r="T53" t="s">
        <v>61</v>
      </c>
      <c r="U53">
        <v>98</v>
      </c>
      <c r="V53">
        <v>27</v>
      </c>
      <c r="W53">
        <v>0</v>
      </c>
      <c r="X53">
        <v>534801</v>
      </c>
    </row>
    <row r="54" spans="1:25">
      <c r="A54" s="1" t="s">
        <v>122</v>
      </c>
      <c r="B54" t="s">
        <v>43</v>
      </c>
      <c r="C54" t="s">
        <v>78</v>
      </c>
      <c r="D54" t="s">
        <v>59</v>
      </c>
      <c r="E54" t="s">
        <v>66</v>
      </c>
      <c r="F54" t="s">
        <v>30</v>
      </c>
      <c r="G54" t="s">
        <v>39</v>
      </c>
      <c r="H54" t="s">
        <v>32</v>
      </c>
      <c r="I54" t="s">
        <v>41</v>
      </c>
      <c r="J54" s="2">
        <v>45273</v>
      </c>
      <c r="K54" s="2">
        <v>45277</v>
      </c>
      <c r="L54" s="2">
        <v>45282</v>
      </c>
      <c r="M54" s="2">
        <v>45288</v>
      </c>
      <c r="N54" s="2">
        <v>45293</v>
      </c>
      <c r="O54">
        <v>1</v>
      </c>
      <c r="P54">
        <v>1</v>
      </c>
      <c r="Q54">
        <v>1</v>
      </c>
      <c r="R54">
        <v>1</v>
      </c>
      <c r="S54">
        <v>0</v>
      </c>
      <c r="T54" t="s">
        <v>61</v>
      </c>
      <c r="U54">
        <v>87</v>
      </c>
      <c r="V54">
        <v>20</v>
      </c>
      <c r="W54">
        <v>8</v>
      </c>
      <c r="X54">
        <v>2078788</v>
      </c>
    </row>
    <row r="55" spans="1:25">
      <c r="A55" s="1" t="s">
        <v>123</v>
      </c>
      <c r="B55" t="s">
        <v>26</v>
      </c>
      <c r="C55" t="s">
        <v>71</v>
      </c>
      <c r="D55" t="s">
        <v>73</v>
      </c>
      <c r="E55" t="s">
        <v>66</v>
      </c>
      <c r="F55" t="s">
        <v>38</v>
      </c>
      <c r="G55" t="s">
        <v>39</v>
      </c>
      <c r="H55" t="s">
        <v>32</v>
      </c>
      <c r="I55" t="s">
        <v>41</v>
      </c>
      <c r="J55" s="2">
        <v>45373</v>
      </c>
      <c r="K55" s="2">
        <v>45378</v>
      </c>
      <c r="L55" s="2">
        <v>45385</v>
      </c>
      <c r="M55" s="2">
        <v>45391</v>
      </c>
      <c r="N55" s="2">
        <v>45397</v>
      </c>
      <c r="O55">
        <v>1</v>
      </c>
      <c r="P55">
        <v>1</v>
      </c>
      <c r="Q55">
        <v>1</v>
      </c>
      <c r="R55">
        <v>0</v>
      </c>
      <c r="S55">
        <v>0</v>
      </c>
      <c r="T55" t="s">
        <v>49</v>
      </c>
      <c r="U55">
        <v>99</v>
      </c>
      <c r="W55">
        <v>7</v>
      </c>
      <c r="X55">
        <v>800224</v>
      </c>
      <c r="Y55" t="s">
        <v>68</v>
      </c>
    </row>
    <row r="56" spans="1:25">
      <c r="A56" s="1" t="s">
        <v>124</v>
      </c>
      <c r="B56" t="s">
        <v>43</v>
      </c>
      <c r="C56" t="s">
        <v>78</v>
      </c>
      <c r="D56" t="s">
        <v>73</v>
      </c>
      <c r="E56" t="s">
        <v>63</v>
      </c>
      <c r="F56" t="s">
        <v>76</v>
      </c>
      <c r="G56" t="s">
        <v>31</v>
      </c>
      <c r="H56" t="s">
        <v>40</v>
      </c>
      <c r="I56" t="s">
        <v>41</v>
      </c>
      <c r="J56" s="2">
        <v>45421</v>
      </c>
      <c r="K56" s="2">
        <v>45426</v>
      </c>
      <c r="L56" s="2">
        <v>45432</v>
      </c>
      <c r="M56" s="2">
        <v>45436</v>
      </c>
      <c r="N56" s="2">
        <v>45436</v>
      </c>
      <c r="O56">
        <v>1</v>
      </c>
      <c r="P56">
        <v>1</v>
      </c>
      <c r="Q56">
        <v>1</v>
      </c>
      <c r="R56">
        <v>1</v>
      </c>
      <c r="S56">
        <v>0</v>
      </c>
      <c r="T56" t="s">
        <v>61</v>
      </c>
      <c r="U56">
        <v>67</v>
      </c>
      <c r="V56">
        <v>15</v>
      </c>
      <c r="W56">
        <v>7</v>
      </c>
      <c r="X56">
        <v>2050218</v>
      </c>
    </row>
    <row r="57" spans="1:25">
      <c r="A57" s="1" t="s">
        <v>125</v>
      </c>
      <c r="B57" t="s">
        <v>58</v>
      </c>
      <c r="C57" t="s">
        <v>37</v>
      </c>
      <c r="D57" t="s">
        <v>73</v>
      </c>
      <c r="E57" t="s">
        <v>29</v>
      </c>
      <c r="F57" t="s">
        <v>76</v>
      </c>
      <c r="G57" t="s">
        <v>39</v>
      </c>
      <c r="H57" t="s">
        <v>32</v>
      </c>
      <c r="I57" t="s">
        <v>41</v>
      </c>
      <c r="J57" s="2">
        <v>45378</v>
      </c>
      <c r="K57" s="2">
        <v>45381</v>
      </c>
      <c r="L57" s="2">
        <v>45384</v>
      </c>
      <c r="M57" s="2">
        <v>45388</v>
      </c>
      <c r="N57" s="2">
        <v>45398</v>
      </c>
      <c r="O57">
        <v>1</v>
      </c>
      <c r="P57">
        <v>1</v>
      </c>
      <c r="Q57">
        <v>1</v>
      </c>
      <c r="R57">
        <v>0</v>
      </c>
      <c r="S57">
        <v>0</v>
      </c>
      <c r="T57" t="s">
        <v>49</v>
      </c>
      <c r="U57">
        <v>55</v>
      </c>
      <c r="W57">
        <v>3</v>
      </c>
      <c r="X57">
        <v>886924</v>
      </c>
      <c r="Y57" t="s">
        <v>87</v>
      </c>
    </row>
    <row r="58" spans="1:25">
      <c r="A58" s="1" t="s">
        <v>126</v>
      </c>
      <c r="B58" t="s">
        <v>36</v>
      </c>
      <c r="C58" t="s">
        <v>27</v>
      </c>
      <c r="D58" t="s">
        <v>73</v>
      </c>
      <c r="E58" t="s">
        <v>54</v>
      </c>
      <c r="F58" t="s">
        <v>76</v>
      </c>
      <c r="G58" t="s">
        <v>39</v>
      </c>
      <c r="H58" t="s">
        <v>32</v>
      </c>
      <c r="I58" t="s">
        <v>33</v>
      </c>
      <c r="J58" s="2">
        <v>45287</v>
      </c>
      <c r="K58" s="2">
        <v>45289</v>
      </c>
      <c r="L58" s="2">
        <v>45293</v>
      </c>
      <c r="M58" s="2">
        <v>45299</v>
      </c>
      <c r="N58" s="2">
        <v>45306</v>
      </c>
      <c r="O58">
        <v>1</v>
      </c>
      <c r="P58">
        <v>1</v>
      </c>
      <c r="Q58">
        <v>1</v>
      </c>
      <c r="R58">
        <v>0</v>
      </c>
      <c r="S58">
        <v>0</v>
      </c>
      <c r="T58" t="s">
        <v>49</v>
      </c>
      <c r="U58">
        <v>84</v>
      </c>
      <c r="W58">
        <v>2</v>
      </c>
      <c r="X58">
        <v>406635</v>
      </c>
      <c r="Y58" t="s">
        <v>127</v>
      </c>
    </row>
    <row r="59" spans="1:25">
      <c r="A59" s="1" t="s">
        <v>128</v>
      </c>
      <c r="B59" t="s">
        <v>58</v>
      </c>
      <c r="C59" t="s">
        <v>71</v>
      </c>
      <c r="D59" t="s">
        <v>59</v>
      </c>
      <c r="E59" t="s">
        <v>29</v>
      </c>
      <c r="F59" t="s">
        <v>67</v>
      </c>
      <c r="G59" t="s">
        <v>39</v>
      </c>
      <c r="H59" t="s">
        <v>40</v>
      </c>
      <c r="I59" t="s">
        <v>41</v>
      </c>
      <c r="J59" s="2">
        <v>45404</v>
      </c>
      <c r="K59" s="2">
        <v>45406</v>
      </c>
      <c r="L59" s="2">
        <v>45415</v>
      </c>
      <c r="M59" s="2">
        <v>45418</v>
      </c>
      <c r="N59" s="2">
        <v>45414</v>
      </c>
      <c r="O59">
        <v>1</v>
      </c>
      <c r="P59">
        <v>1</v>
      </c>
      <c r="Q59">
        <v>1</v>
      </c>
      <c r="R59">
        <v>1</v>
      </c>
      <c r="S59">
        <v>0</v>
      </c>
      <c r="T59" t="s">
        <v>61</v>
      </c>
      <c r="U59">
        <v>86</v>
      </c>
      <c r="V59">
        <v>10</v>
      </c>
      <c r="W59">
        <v>6</v>
      </c>
      <c r="X59">
        <v>937789</v>
      </c>
    </row>
    <row r="60" spans="1:25">
      <c r="A60" s="1" t="s">
        <v>129</v>
      </c>
      <c r="B60" t="s">
        <v>70</v>
      </c>
      <c r="C60" t="s">
        <v>27</v>
      </c>
      <c r="D60" t="s">
        <v>52</v>
      </c>
      <c r="E60" t="s">
        <v>29</v>
      </c>
      <c r="F60" t="s">
        <v>48</v>
      </c>
      <c r="G60" t="s">
        <v>55</v>
      </c>
      <c r="H60" t="s">
        <v>32</v>
      </c>
      <c r="I60" t="s">
        <v>33</v>
      </c>
      <c r="J60" s="2">
        <v>45291</v>
      </c>
      <c r="K60" s="2">
        <v>45296</v>
      </c>
      <c r="L60" s="2">
        <v>45301</v>
      </c>
      <c r="M60" s="2">
        <v>45308</v>
      </c>
      <c r="N60" s="2">
        <v>45320</v>
      </c>
      <c r="O60">
        <v>1</v>
      </c>
      <c r="P60">
        <v>1</v>
      </c>
      <c r="Q60">
        <v>0</v>
      </c>
      <c r="R60">
        <v>0</v>
      </c>
      <c r="S60">
        <v>0</v>
      </c>
      <c r="T60" t="s">
        <v>34</v>
      </c>
      <c r="U60">
        <v>93</v>
      </c>
      <c r="W60">
        <v>0</v>
      </c>
    </row>
    <row r="61" spans="1:25">
      <c r="A61" s="1" t="s">
        <v>130</v>
      </c>
      <c r="B61" t="s">
        <v>58</v>
      </c>
      <c r="C61" t="s">
        <v>37</v>
      </c>
      <c r="D61" t="s">
        <v>52</v>
      </c>
      <c r="E61" t="s">
        <v>29</v>
      </c>
      <c r="F61" t="s">
        <v>67</v>
      </c>
      <c r="G61" t="s">
        <v>45</v>
      </c>
      <c r="H61" t="s">
        <v>56</v>
      </c>
      <c r="I61" t="s">
        <v>33</v>
      </c>
      <c r="J61" s="2">
        <v>45329</v>
      </c>
      <c r="K61" s="2">
        <v>45334</v>
      </c>
      <c r="L61" s="2">
        <v>45344</v>
      </c>
      <c r="M61" s="2">
        <v>45350</v>
      </c>
      <c r="N61" s="2">
        <v>45350</v>
      </c>
      <c r="O61">
        <v>1</v>
      </c>
      <c r="P61">
        <v>1</v>
      </c>
      <c r="Q61">
        <v>1</v>
      </c>
      <c r="R61">
        <v>0</v>
      </c>
      <c r="S61">
        <v>0</v>
      </c>
      <c r="T61" t="s">
        <v>49</v>
      </c>
      <c r="U61">
        <v>52</v>
      </c>
      <c r="W61">
        <v>4</v>
      </c>
      <c r="X61">
        <v>609877</v>
      </c>
      <c r="Y61" t="s">
        <v>127</v>
      </c>
    </row>
    <row r="62" spans="1:25">
      <c r="A62" s="1" t="s">
        <v>131</v>
      </c>
      <c r="B62" t="s">
        <v>70</v>
      </c>
      <c r="C62" t="s">
        <v>37</v>
      </c>
      <c r="D62" t="s">
        <v>44</v>
      </c>
      <c r="E62" t="s">
        <v>54</v>
      </c>
      <c r="F62" t="s">
        <v>67</v>
      </c>
      <c r="G62" t="s">
        <v>39</v>
      </c>
      <c r="H62" t="s">
        <v>32</v>
      </c>
      <c r="I62" t="s">
        <v>41</v>
      </c>
      <c r="J62" s="2">
        <v>44947</v>
      </c>
      <c r="K62" s="2">
        <v>44948</v>
      </c>
      <c r="L62" s="2">
        <v>44958</v>
      </c>
      <c r="M62" s="2">
        <v>44964</v>
      </c>
      <c r="N62" s="2">
        <v>44980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74</v>
      </c>
      <c r="U62">
        <v>66</v>
      </c>
      <c r="W62">
        <v>2</v>
      </c>
    </row>
    <row r="63" spans="1:25">
      <c r="A63" s="1" t="s">
        <v>132</v>
      </c>
      <c r="B63" t="s">
        <v>90</v>
      </c>
      <c r="C63" t="s">
        <v>71</v>
      </c>
      <c r="D63" t="s">
        <v>59</v>
      </c>
      <c r="E63" t="s">
        <v>63</v>
      </c>
      <c r="F63" t="s">
        <v>76</v>
      </c>
      <c r="G63" t="s">
        <v>45</v>
      </c>
      <c r="H63" t="s">
        <v>32</v>
      </c>
      <c r="I63" t="s">
        <v>33</v>
      </c>
      <c r="J63" s="2">
        <v>45053</v>
      </c>
      <c r="K63" s="2">
        <v>45056</v>
      </c>
      <c r="L63" s="2">
        <v>45062</v>
      </c>
      <c r="M63" s="2">
        <v>45064</v>
      </c>
      <c r="N63" s="2">
        <v>45086</v>
      </c>
      <c r="O63">
        <v>0</v>
      </c>
      <c r="P63">
        <v>0</v>
      </c>
      <c r="Q63">
        <v>0</v>
      </c>
      <c r="R63">
        <v>0</v>
      </c>
      <c r="S63">
        <v>1</v>
      </c>
      <c r="T63" t="s">
        <v>74</v>
      </c>
      <c r="U63">
        <v>53</v>
      </c>
      <c r="W63">
        <v>3</v>
      </c>
    </row>
    <row r="64" spans="1:25">
      <c r="A64" s="1" t="s">
        <v>133</v>
      </c>
      <c r="B64" t="s">
        <v>70</v>
      </c>
      <c r="C64" t="s">
        <v>71</v>
      </c>
      <c r="D64" t="s">
        <v>52</v>
      </c>
      <c r="E64" t="s">
        <v>63</v>
      </c>
      <c r="F64" t="s">
        <v>48</v>
      </c>
      <c r="G64" t="s">
        <v>45</v>
      </c>
      <c r="H64" t="s">
        <v>32</v>
      </c>
      <c r="I64" t="s">
        <v>33</v>
      </c>
      <c r="J64" s="2">
        <v>45374</v>
      </c>
      <c r="K64" s="2">
        <v>45377</v>
      </c>
      <c r="L64" s="2">
        <v>45380</v>
      </c>
      <c r="M64" s="2">
        <v>45387</v>
      </c>
      <c r="N64" s="2">
        <v>45408</v>
      </c>
      <c r="O64">
        <v>1</v>
      </c>
      <c r="P64">
        <v>0</v>
      </c>
      <c r="Q64">
        <v>0</v>
      </c>
      <c r="R64">
        <v>0</v>
      </c>
      <c r="S64">
        <v>0</v>
      </c>
      <c r="T64" t="s">
        <v>34</v>
      </c>
      <c r="U64">
        <v>46</v>
      </c>
      <c r="W64">
        <v>6</v>
      </c>
    </row>
    <row r="65" spans="1:25">
      <c r="A65" s="1" t="s">
        <v>134</v>
      </c>
      <c r="B65" t="s">
        <v>58</v>
      </c>
      <c r="C65" t="s">
        <v>78</v>
      </c>
      <c r="D65" t="s">
        <v>52</v>
      </c>
      <c r="E65" t="s">
        <v>54</v>
      </c>
      <c r="F65" t="s">
        <v>67</v>
      </c>
      <c r="G65" t="s">
        <v>45</v>
      </c>
      <c r="H65" t="s">
        <v>32</v>
      </c>
      <c r="I65" t="s">
        <v>33</v>
      </c>
      <c r="J65" s="2">
        <v>45290</v>
      </c>
      <c r="K65" s="2">
        <v>45291</v>
      </c>
      <c r="L65" s="2">
        <v>45295</v>
      </c>
      <c r="M65" s="2">
        <v>45301</v>
      </c>
      <c r="N65" s="2">
        <v>45303</v>
      </c>
      <c r="O65">
        <v>1</v>
      </c>
      <c r="P65">
        <v>1</v>
      </c>
      <c r="Q65">
        <v>1</v>
      </c>
      <c r="R65">
        <v>0</v>
      </c>
      <c r="S65">
        <v>0</v>
      </c>
      <c r="T65" t="s">
        <v>49</v>
      </c>
      <c r="U65">
        <v>85</v>
      </c>
      <c r="W65">
        <v>9</v>
      </c>
      <c r="X65">
        <v>1826412</v>
      </c>
      <c r="Y65" t="s">
        <v>80</v>
      </c>
    </row>
    <row r="66" spans="1:25">
      <c r="A66" s="1" t="s">
        <v>135</v>
      </c>
      <c r="B66" t="s">
        <v>26</v>
      </c>
      <c r="C66" t="s">
        <v>71</v>
      </c>
      <c r="D66" t="s">
        <v>44</v>
      </c>
      <c r="E66" t="s">
        <v>54</v>
      </c>
      <c r="F66" t="s">
        <v>30</v>
      </c>
      <c r="G66" t="s">
        <v>45</v>
      </c>
      <c r="H66" t="s">
        <v>40</v>
      </c>
      <c r="I66" t="s">
        <v>33</v>
      </c>
      <c r="J66" s="2">
        <v>45046</v>
      </c>
      <c r="K66" s="2">
        <v>45048</v>
      </c>
      <c r="L66" s="2">
        <v>45051</v>
      </c>
      <c r="M66" s="2">
        <v>45054</v>
      </c>
      <c r="N66" s="2">
        <v>45068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74</v>
      </c>
      <c r="U66">
        <v>76</v>
      </c>
      <c r="W66">
        <v>7</v>
      </c>
    </row>
    <row r="67" spans="1:25">
      <c r="A67" s="1" t="s">
        <v>136</v>
      </c>
      <c r="B67" t="s">
        <v>26</v>
      </c>
      <c r="C67" t="s">
        <v>78</v>
      </c>
      <c r="D67" t="s">
        <v>73</v>
      </c>
      <c r="E67" t="s">
        <v>63</v>
      </c>
      <c r="F67" t="s">
        <v>64</v>
      </c>
      <c r="G67" t="s">
        <v>45</v>
      </c>
      <c r="H67" t="s">
        <v>56</v>
      </c>
      <c r="I67" t="s">
        <v>33</v>
      </c>
      <c r="J67" s="2">
        <v>45216</v>
      </c>
      <c r="K67" s="2">
        <v>45221</v>
      </c>
      <c r="L67" s="2">
        <v>45224</v>
      </c>
      <c r="M67" s="2">
        <v>45226</v>
      </c>
      <c r="N67" s="2">
        <v>45233</v>
      </c>
      <c r="O67">
        <v>1</v>
      </c>
      <c r="P67">
        <v>1</v>
      </c>
      <c r="Q67">
        <v>0</v>
      </c>
      <c r="R67">
        <v>0</v>
      </c>
      <c r="S67">
        <v>0</v>
      </c>
      <c r="T67" t="s">
        <v>34</v>
      </c>
      <c r="U67">
        <v>50</v>
      </c>
      <c r="W67">
        <v>6</v>
      </c>
    </row>
    <row r="68" spans="1:25">
      <c r="A68" s="1" t="s">
        <v>137</v>
      </c>
      <c r="B68" t="s">
        <v>43</v>
      </c>
      <c r="C68" t="s">
        <v>37</v>
      </c>
      <c r="D68" t="s">
        <v>44</v>
      </c>
      <c r="E68" t="s">
        <v>63</v>
      </c>
      <c r="F68" t="s">
        <v>30</v>
      </c>
      <c r="G68" t="s">
        <v>31</v>
      </c>
      <c r="H68" t="s">
        <v>40</v>
      </c>
      <c r="I68" t="s">
        <v>33</v>
      </c>
      <c r="J68" s="2">
        <v>45146</v>
      </c>
      <c r="K68" s="2">
        <v>45148</v>
      </c>
      <c r="L68" s="2">
        <v>45152</v>
      </c>
      <c r="M68" s="2">
        <v>45156</v>
      </c>
      <c r="N68" s="2">
        <v>45163</v>
      </c>
      <c r="O68">
        <v>1</v>
      </c>
      <c r="P68">
        <v>1</v>
      </c>
      <c r="Q68">
        <v>0</v>
      </c>
      <c r="R68">
        <v>0</v>
      </c>
      <c r="S68">
        <v>1</v>
      </c>
      <c r="T68" t="s">
        <v>34</v>
      </c>
      <c r="U68">
        <v>48</v>
      </c>
      <c r="W68">
        <v>2</v>
      </c>
    </row>
    <row r="69" spans="1:25">
      <c r="A69" s="1" t="s">
        <v>138</v>
      </c>
      <c r="B69" t="s">
        <v>90</v>
      </c>
      <c r="C69" t="s">
        <v>27</v>
      </c>
      <c r="D69" t="s">
        <v>73</v>
      </c>
      <c r="E69" t="s">
        <v>29</v>
      </c>
      <c r="F69" t="s">
        <v>30</v>
      </c>
      <c r="G69" t="s">
        <v>55</v>
      </c>
      <c r="H69" t="s">
        <v>40</v>
      </c>
      <c r="I69" t="s">
        <v>41</v>
      </c>
      <c r="J69" s="2">
        <v>45384</v>
      </c>
      <c r="K69" s="2">
        <v>45389</v>
      </c>
      <c r="L69" s="2">
        <v>45394</v>
      </c>
      <c r="M69" s="2">
        <v>45397</v>
      </c>
      <c r="N69" s="2">
        <v>45419</v>
      </c>
      <c r="O69">
        <v>1</v>
      </c>
      <c r="P69">
        <v>0</v>
      </c>
      <c r="Q69">
        <v>0</v>
      </c>
      <c r="R69">
        <v>0</v>
      </c>
      <c r="S69">
        <v>0</v>
      </c>
      <c r="T69" t="s">
        <v>34</v>
      </c>
      <c r="U69">
        <v>48</v>
      </c>
      <c r="W69">
        <v>0</v>
      </c>
    </row>
    <row r="70" spans="1:25">
      <c r="A70" s="1" t="s">
        <v>139</v>
      </c>
      <c r="B70" t="s">
        <v>26</v>
      </c>
      <c r="C70" t="s">
        <v>78</v>
      </c>
      <c r="D70" t="s">
        <v>28</v>
      </c>
      <c r="E70" t="s">
        <v>29</v>
      </c>
      <c r="F70" t="s">
        <v>76</v>
      </c>
      <c r="G70" t="s">
        <v>60</v>
      </c>
      <c r="H70" t="s">
        <v>32</v>
      </c>
      <c r="I70" t="s">
        <v>41</v>
      </c>
      <c r="J70" s="2">
        <v>45194</v>
      </c>
      <c r="K70" s="2">
        <v>45198</v>
      </c>
      <c r="L70" s="2">
        <v>45208</v>
      </c>
      <c r="M70" s="2">
        <v>45215</v>
      </c>
      <c r="N70" s="2">
        <v>45217</v>
      </c>
      <c r="O70">
        <v>1</v>
      </c>
      <c r="P70">
        <v>1</v>
      </c>
      <c r="Q70">
        <v>1</v>
      </c>
      <c r="R70">
        <v>1</v>
      </c>
      <c r="S70">
        <v>0</v>
      </c>
      <c r="T70" t="s">
        <v>61</v>
      </c>
      <c r="U70">
        <v>57</v>
      </c>
      <c r="V70">
        <v>23</v>
      </c>
      <c r="W70">
        <v>10</v>
      </c>
      <c r="X70">
        <v>2184365</v>
      </c>
    </row>
    <row r="71" spans="1:25">
      <c r="A71" s="1" t="s">
        <v>140</v>
      </c>
      <c r="B71" t="s">
        <v>26</v>
      </c>
      <c r="C71" t="s">
        <v>27</v>
      </c>
      <c r="D71" t="s">
        <v>73</v>
      </c>
      <c r="E71" t="s">
        <v>54</v>
      </c>
      <c r="F71" t="s">
        <v>48</v>
      </c>
      <c r="G71" t="s">
        <v>55</v>
      </c>
      <c r="H71" t="s">
        <v>40</v>
      </c>
      <c r="I71" t="s">
        <v>33</v>
      </c>
      <c r="J71" s="2">
        <v>45294</v>
      </c>
      <c r="K71" s="2">
        <v>45296</v>
      </c>
      <c r="L71" s="2">
        <v>45304</v>
      </c>
      <c r="M71" s="2">
        <v>45307</v>
      </c>
      <c r="N71" s="2">
        <v>45310</v>
      </c>
      <c r="O71">
        <v>1</v>
      </c>
      <c r="P71">
        <v>1</v>
      </c>
      <c r="Q71">
        <v>1</v>
      </c>
      <c r="R71">
        <v>0</v>
      </c>
      <c r="S71">
        <v>0</v>
      </c>
      <c r="T71" t="s">
        <v>49</v>
      </c>
      <c r="U71">
        <v>84</v>
      </c>
      <c r="W71">
        <v>1</v>
      </c>
      <c r="X71">
        <v>587609</v>
      </c>
      <c r="Y71" t="s">
        <v>50</v>
      </c>
    </row>
    <row r="72" spans="1:25">
      <c r="A72" s="1" t="s">
        <v>141</v>
      </c>
      <c r="B72" t="s">
        <v>26</v>
      </c>
      <c r="C72" t="s">
        <v>47</v>
      </c>
      <c r="D72" t="s">
        <v>73</v>
      </c>
      <c r="E72" t="s">
        <v>54</v>
      </c>
      <c r="F72" t="s">
        <v>38</v>
      </c>
      <c r="G72" t="s">
        <v>55</v>
      </c>
      <c r="H72" t="s">
        <v>40</v>
      </c>
      <c r="I72" t="s">
        <v>41</v>
      </c>
      <c r="J72" s="2">
        <v>45137</v>
      </c>
      <c r="K72" s="2">
        <v>45139</v>
      </c>
      <c r="L72" s="2">
        <v>45147</v>
      </c>
      <c r="M72" s="2">
        <v>45151</v>
      </c>
      <c r="N72" s="2">
        <v>45157</v>
      </c>
      <c r="O72">
        <v>1</v>
      </c>
      <c r="P72">
        <v>1</v>
      </c>
      <c r="Q72">
        <v>1</v>
      </c>
      <c r="R72">
        <v>1</v>
      </c>
      <c r="S72">
        <v>0</v>
      </c>
      <c r="T72" t="s">
        <v>61</v>
      </c>
      <c r="U72">
        <v>65</v>
      </c>
      <c r="V72">
        <v>20</v>
      </c>
      <c r="W72">
        <v>15</v>
      </c>
      <c r="X72">
        <v>2054203</v>
      </c>
    </row>
    <row r="73" spans="1:25">
      <c r="A73" s="1" t="s">
        <v>142</v>
      </c>
      <c r="B73" t="s">
        <v>70</v>
      </c>
      <c r="C73" t="s">
        <v>71</v>
      </c>
      <c r="D73" t="s">
        <v>73</v>
      </c>
      <c r="E73" t="s">
        <v>29</v>
      </c>
      <c r="F73" t="s">
        <v>67</v>
      </c>
      <c r="G73" t="s">
        <v>45</v>
      </c>
      <c r="H73" t="s">
        <v>56</v>
      </c>
      <c r="I73" t="s">
        <v>33</v>
      </c>
      <c r="J73" s="2">
        <v>45035</v>
      </c>
      <c r="K73" s="2">
        <v>45039</v>
      </c>
      <c r="L73" s="2">
        <v>45045</v>
      </c>
      <c r="M73" s="2">
        <v>45050</v>
      </c>
      <c r="N73" s="2">
        <v>45070</v>
      </c>
      <c r="O73">
        <v>1</v>
      </c>
      <c r="P73">
        <v>1</v>
      </c>
      <c r="Q73">
        <v>1</v>
      </c>
      <c r="R73">
        <v>0</v>
      </c>
      <c r="S73">
        <v>0</v>
      </c>
      <c r="T73" t="s">
        <v>49</v>
      </c>
      <c r="U73">
        <v>67</v>
      </c>
      <c r="W73">
        <v>3</v>
      </c>
      <c r="X73">
        <v>1092471</v>
      </c>
      <c r="Y73" t="s">
        <v>80</v>
      </c>
    </row>
    <row r="74" spans="1:25">
      <c r="A74" s="1" t="s">
        <v>143</v>
      </c>
      <c r="B74" t="s">
        <v>43</v>
      </c>
      <c r="C74" t="s">
        <v>37</v>
      </c>
      <c r="D74" t="s">
        <v>44</v>
      </c>
      <c r="E74" t="s">
        <v>102</v>
      </c>
      <c r="F74" t="s">
        <v>67</v>
      </c>
      <c r="G74" t="s">
        <v>45</v>
      </c>
      <c r="H74" t="s">
        <v>40</v>
      </c>
      <c r="I74" t="s">
        <v>41</v>
      </c>
      <c r="J74" s="2">
        <v>45043</v>
      </c>
      <c r="K74" s="2">
        <v>45047</v>
      </c>
      <c r="L74" s="2">
        <v>45054</v>
      </c>
      <c r="M74" s="2">
        <v>45061</v>
      </c>
      <c r="N74" s="2">
        <v>45069</v>
      </c>
      <c r="O74">
        <v>1</v>
      </c>
      <c r="P74">
        <v>0</v>
      </c>
      <c r="Q74">
        <v>0</v>
      </c>
      <c r="R74">
        <v>0</v>
      </c>
      <c r="S74">
        <v>0</v>
      </c>
      <c r="T74" t="s">
        <v>34</v>
      </c>
      <c r="U74">
        <v>52</v>
      </c>
      <c r="W74">
        <v>3</v>
      </c>
    </row>
    <row r="75" spans="1:25">
      <c r="A75" s="1" t="s">
        <v>144</v>
      </c>
      <c r="B75" t="s">
        <v>26</v>
      </c>
      <c r="C75" t="s">
        <v>71</v>
      </c>
      <c r="D75" t="s">
        <v>73</v>
      </c>
      <c r="E75" t="s">
        <v>63</v>
      </c>
      <c r="F75" t="s">
        <v>76</v>
      </c>
      <c r="G75" t="s">
        <v>60</v>
      </c>
      <c r="H75" t="s">
        <v>40</v>
      </c>
      <c r="I75" t="s">
        <v>33</v>
      </c>
      <c r="J75" s="2">
        <v>45163</v>
      </c>
      <c r="K75" s="2">
        <v>45164</v>
      </c>
      <c r="L75" s="2">
        <v>45171</v>
      </c>
      <c r="M75" s="2">
        <v>45178</v>
      </c>
      <c r="N75" s="2">
        <v>45187</v>
      </c>
      <c r="O75">
        <v>1</v>
      </c>
      <c r="P75">
        <v>1</v>
      </c>
      <c r="Q75">
        <v>1</v>
      </c>
      <c r="R75">
        <v>0</v>
      </c>
      <c r="S75">
        <v>0</v>
      </c>
      <c r="T75" t="s">
        <v>49</v>
      </c>
      <c r="U75">
        <v>94</v>
      </c>
      <c r="W75">
        <v>7</v>
      </c>
      <c r="X75">
        <v>1078318</v>
      </c>
      <c r="Y75" t="s">
        <v>50</v>
      </c>
    </row>
    <row r="76" spans="1:25">
      <c r="A76" s="1" t="s">
        <v>145</v>
      </c>
      <c r="B76" t="s">
        <v>26</v>
      </c>
      <c r="C76" t="s">
        <v>47</v>
      </c>
      <c r="D76" t="s">
        <v>44</v>
      </c>
      <c r="E76" t="s">
        <v>63</v>
      </c>
      <c r="F76" t="s">
        <v>64</v>
      </c>
      <c r="G76" t="s">
        <v>39</v>
      </c>
      <c r="H76" t="s">
        <v>56</v>
      </c>
      <c r="I76" t="s">
        <v>33</v>
      </c>
      <c r="J76" s="2">
        <v>44957</v>
      </c>
      <c r="K76" s="2">
        <v>44959</v>
      </c>
      <c r="L76" s="2">
        <v>44968</v>
      </c>
      <c r="M76" s="2">
        <v>44971</v>
      </c>
      <c r="N76" s="2">
        <v>44976</v>
      </c>
      <c r="O76">
        <v>1</v>
      </c>
      <c r="P76">
        <v>0</v>
      </c>
      <c r="Q76">
        <v>0</v>
      </c>
      <c r="R76">
        <v>0</v>
      </c>
      <c r="S76">
        <v>0</v>
      </c>
      <c r="T76" t="s">
        <v>34</v>
      </c>
      <c r="U76">
        <v>47</v>
      </c>
      <c r="W76">
        <v>14</v>
      </c>
    </row>
    <row r="77" spans="1:25">
      <c r="A77" s="1" t="s">
        <v>146</v>
      </c>
      <c r="B77" t="s">
        <v>36</v>
      </c>
      <c r="C77" t="s">
        <v>37</v>
      </c>
      <c r="D77" t="s">
        <v>73</v>
      </c>
      <c r="E77" t="s">
        <v>66</v>
      </c>
      <c r="F77" t="s">
        <v>76</v>
      </c>
      <c r="G77" t="s">
        <v>31</v>
      </c>
      <c r="H77" t="s">
        <v>40</v>
      </c>
      <c r="I77" t="s">
        <v>41</v>
      </c>
      <c r="J77" s="2">
        <v>45343</v>
      </c>
      <c r="K77" s="2">
        <v>45348</v>
      </c>
      <c r="L77" s="2">
        <v>45351</v>
      </c>
      <c r="M77" s="2">
        <v>45355</v>
      </c>
      <c r="N77" s="2">
        <v>45358</v>
      </c>
      <c r="O77">
        <v>1</v>
      </c>
      <c r="P77">
        <v>0</v>
      </c>
      <c r="Q77">
        <v>0</v>
      </c>
      <c r="R77">
        <v>0</v>
      </c>
      <c r="S77">
        <v>0</v>
      </c>
      <c r="T77" t="s">
        <v>34</v>
      </c>
      <c r="U77">
        <v>51</v>
      </c>
      <c r="W77">
        <v>4</v>
      </c>
    </row>
    <row r="78" spans="1:25">
      <c r="A78" s="1" t="s">
        <v>147</v>
      </c>
      <c r="B78" t="s">
        <v>70</v>
      </c>
      <c r="C78" t="s">
        <v>47</v>
      </c>
      <c r="D78" t="s">
        <v>73</v>
      </c>
      <c r="E78" t="s">
        <v>66</v>
      </c>
      <c r="F78" t="s">
        <v>67</v>
      </c>
      <c r="G78" t="s">
        <v>45</v>
      </c>
      <c r="H78" t="s">
        <v>32</v>
      </c>
      <c r="I78" t="s">
        <v>41</v>
      </c>
      <c r="J78" s="2">
        <v>45204</v>
      </c>
      <c r="K78" s="2">
        <v>45209</v>
      </c>
      <c r="L78" s="2">
        <v>45214</v>
      </c>
      <c r="M78" s="2">
        <v>45217</v>
      </c>
      <c r="N78" s="2">
        <v>45237</v>
      </c>
      <c r="O78">
        <v>1</v>
      </c>
      <c r="P78">
        <v>0</v>
      </c>
      <c r="Q78">
        <v>0</v>
      </c>
      <c r="R78">
        <v>0</v>
      </c>
      <c r="S78">
        <v>0</v>
      </c>
      <c r="T78" t="s">
        <v>34</v>
      </c>
      <c r="U78">
        <v>67</v>
      </c>
      <c r="W78">
        <v>8</v>
      </c>
    </row>
    <row r="79" spans="1:25">
      <c r="A79" s="1" t="s">
        <v>148</v>
      </c>
      <c r="B79" t="s">
        <v>70</v>
      </c>
      <c r="C79" t="s">
        <v>71</v>
      </c>
      <c r="D79" t="s">
        <v>73</v>
      </c>
      <c r="E79" t="s">
        <v>54</v>
      </c>
      <c r="F79" t="s">
        <v>67</v>
      </c>
      <c r="G79" t="s">
        <v>31</v>
      </c>
      <c r="H79" t="s">
        <v>56</v>
      </c>
      <c r="I79" t="s">
        <v>41</v>
      </c>
      <c r="J79" s="2">
        <v>45414</v>
      </c>
      <c r="K79" s="2">
        <v>45419</v>
      </c>
      <c r="L79" s="2">
        <v>45425</v>
      </c>
      <c r="M79" s="2">
        <v>45430</v>
      </c>
      <c r="N79" s="2">
        <v>45451</v>
      </c>
      <c r="O79">
        <v>1</v>
      </c>
      <c r="P79">
        <v>1</v>
      </c>
      <c r="Q79">
        <v>1</v>
      </c>
      <c r="R79">
        <v>0</v>
      </c>
      <c r="S79">
        <v>0</v>
      </c>
      <c r="T79" t="s">
        <v>49</v>
      </c>
      <c r="U79">
        <v>93</v>
      </c>
      <c r="W79">
        <v>5</v>
      </c>
      <c r="X79">
        <v>940476</v>
      </c>
      <c r="Y79" t="s">
        <v>68</v>
      </c>
    </row>
    <row r="80" spans="1:25">
      <c r="A80" s="1" t="s">
        <v>149</v>
      </c>
      <c r="B80" t="s">
        <v>26</v>
      </c>
      <c r="C80" t="s">
        <v>78</v>
      </c>
      <c r="D80" t="s">
        <v>52</v>
      </c>
      <c r="E80" t="s">
        <v>63</v>
      </c>
      <c r="F80" t="s">
        <v>38</v>
      </c>
      <c r="G80" t="s">
        <v>31</v>
      </c>
      <c r="H80" t="s">
        <v>56</v>
      </c>
      <c r="I80" t="s">
        <v>33</v>
      </c>
      <c r="J80" s="2">
        <v>45455</v>
      </c>
      <c r="K80" s="2">
        <v>45458</v>
      </c>
      <c r="L80" s="2">
        <v>45462</v>
      </c>
      <c r="M80" s="2">
        <v>45469</v>
      </c>
      <c r="N80" s="2">
        <v>45471</v>
      </c>
      <c r="O80">
        <v>0</v>
      </c>
      <c r="P80">
        <v>0</v>
      </c>
      <c r="Q80">
        <v>0</v>
      </c>
      <c r="R80">
        <v>0</v>
      </c>
      <c r="S80">
        <v>1</v>
      </c>
      <c r="T80" t="s">
        <v>74</v>
      </c>
      <c r="U80">
        <v>79</v>
      </c>
      <c r="W80">
        <v>10</v>
      </c>
    </row>
    <row r="81" spans="1:25">
      <c r="A81" s="1" t="s">
        <v>150</v>
      </c>
      <c r="B81" t="s">
        <v>43</v>
      </c>
      <c r="C81" t="s">
        <v>27</v>
      </c>
      <c r="D81" t="s">
        <v>59</v>
      </c>
      <c r="E81" t="s">
        <v>66</v>
      </c>
      <c r="F81" t="s">
        <v>76</v>
      </c>
      <c r="G81" t="s">
        <v>39</v>
      </c>
      <c r="H81" t="s">
        <v>40</v>
      </c>
      <c r="I81" t="s">
        <v>33</v>
      </c>
      <c r="J81" s="2">
        <v>45147</v>
      </c>
      <c r="K81" s="2">
        <v>45152</v>
      </c>
      <c r="L81" s="2">
        <v>45155</v>
      </c>
      <c r="M81" s="2">
        <v>45157</v>
      </c>
      <c r="N81" s="2">
        <v>45172</v>
      </c>
      <c r="O81">
        <v>1</v>
      </c>
      <c r="P81">
        <v>0</v>
      </c>
      <c r="Q81">
        <v>0</v>
      </c>
      <c r="R81">
        <v>0</v>
      </c>
      <c r="S81">
        <v>0</v>
      </c>
      <c r="T81" t="s">
        <v>34</v>
      </c>
      <c r="U81">
        <v>55</v>
      </c>
      <c r="W81">
        <v>0</v>
      </c>
    </row>
    <row r="82" spans="1:25">
      <c r="A82" s="1" t="s">
        <v>151</v>
      </c>
      <c r="B82" t="s">
        <v>43</v>
      </c>
      <c r="C82" t="s">
        <v>71</v>
      </c>
      <c r="D82" t="s">
        <v>59</v>
      </c>
      <c r="E82" t="s">
        <v>102</v>
      </c>
      <c r="F82" t="s">
        <v>67</v>
      </c>
      <c r="G82" t="s">
        <v>39</v>
      </c>
      <c r="H82" t="s">
        <v>56</v>
      </c>
      <c r="I82" t="s">
        <v>33</v>
      </c>
      <c r="J82" s="2">
        <v>44948</v>
      </c>
      <c r="K82" s="2">
        <v>44950</v>
      </c>
      <c r="L82" s="2">
        <v>44954</v>
      </c>
      <c r="M82" s="2">
        <v>44956</v>
      </c>
      <c r="N82" s="2">
        <v>44972</v>
      </c>
      <c r="O82">
        <v>1</v>
      </c>
      <c r="P82">
        <v>0</v>
      </c>
      <c r="Q82">
        <v>0</v>
      </c>
      <c r="R82">
        <v>0</v>
      </c>
      <c r="S82">
        <v>0</v>
      </c>
      <c r="T82" t="s">
        <v>34</v>
      </c>
      <c r="U82">
        <v>53</v>
      </c>
      <c r="W82">
        <v>6</v>
      </c>
    </row>
    <row r="83" spans="1:25">
      <c r="A83" s="1" t="s">
        <v>152</v>
      </c>
      <c r="B83" t="s">
        <v>70</v>
      </c>
      <c r="C83" t="s">
        <v>37</v>
      </c>
      <c r="D83" t="s">
        <v>73</v>
      </c>
      <c r="E83" t="s">
        <v>54</v>
      </c>
      <c r="F83" t="s">
        <v>30</v>
      </c>
      <c r="G83" t="s">
        <v>55</v>
      </c>
      <c r="H83" t="s">
        <v>32</v>
      </c>
      <c r="I83" t="s">
        <v>33</v>
      </c>
      <c r="J83" s="2">
        <v>44956</v>
      </c>
      <c r="K83" s="2">
        <v>44959</v>
      </c>
      <c r="L83" s="2">
        <v>44969</v>
      </c>
      <c r="M83" s="2">
        <v>44976</v>
      </c>
      <c r="N83" s="2">
        <v>44993</v>
      </c>
      <c r="O83">
        <v>1</v>
      </c>
      <c r="P83">
        <v>1</v>
      </c>
      <c r="Q83">
        <v>0</v>
      </c>
      <c r="R83">
        <v>0</v>
      </c>
      <c r="S83">
        <v>0</v>
      </c>
      <c r="T83" t="s">
        <v>34</v>
      </c>
      <c r="U83">
        <v>82</v>
      </c>
      <c r="W83">
        <v>2</v>
      </c>
    </row>
    <row r="84" spans="1:25">
      <c r="A84" s="1" t="s">
        <v>153</v>
      </c>
      <c r="B84" t="s">
        <v>26</v>
      </c>
      <c r="C84" t="s">
        <v>71</v>
      </c>
      <c r="D84" t="s">
        <v>52</v>
      </c>
      <c r="E84" t="s">
        <v>54</v>
      </c>
      <c r="F84" t="s">
        <v>30</v>
      </c>
      <c r="G84" t="s">
        <v>55</v>
      </c>
      <c r="H84" t="s">
        <v>40</v>
      </c>
      <c r="I84" t="s">
        <v>41</v>
      </c>
      <c r="J84" s="2">
        <v>45331</v>
      </c>
      <c r="K84" s="2">
        <v>45336</v>
      </c>
      <c r="L84" s="2">
        <v>45346</v>
      </c>
      <c r="M84" s="2">
        <v>45349</v>
      </c>
      <c r="N84" s="2">
        <v>45345</v>
      </c>
      <c r="O84">
        <v>1</v>
      </c>
      <c r="P84">
        <v>0</v>
      </c>
      <c r="Q84">
        <v>0</v>
      </c>
      <c r="R84">
        <v>0</v>
      </c>
      <c r="S84">
        <v>0</v>
      </c>
      <c r="T84" t="s">
        <v>34</v>
      </c>
      <c r="U84">
        <v>60</v>
      </c>
      <c r="W84">
        <v>3</v>
      </c>
    </row>
    <row r="85" spans="1:25">
      <c r="A85" s="1" t="s">
        <v>154</v>
      </c>
      <c r="B85" t="s">
        <v>70</v>
      </c>
      <c r="C85" t="s">
        <v>71</v>
      </c>
      <c r="D85" t="s">
        <v>73</v>
      </c>
      <c r="E85" t="s">
        <v>54</v>
      </c>
      <c r="F85" t="s">
        <v>38</v>
      </c>
      <c r="G85" t="s">
        <v>31</v>
      </c>
      <c r="H85" t="s">
        <v>32</v>
      </c>
      <c r="I85" t="s">
        <v>41</v>
      </c>
      <c r="J85" s="2">
        <v>45401</v>
      </c>
      <c r="K85" s="2">
        <v>45406</v>
      </c>
      <c r="L85" s="2">
        <v>45415</v>
      </c>
      <c r="M85" s="2">
        <v>45419</v>
      </c>
      <c r="N85" s="2">
        <v>45430</v>
      </c>
      <c r="O85">
        <v>1</v>
      </c>
      <c r="P85">
        <v>1</v>
      </c>
      <c r="Q85">
        <v>1</v>
      </c>
      <c r="R85">
        <v>0</v>
      </c>
      <c r="S85">
        <v>0</v>
      </c>
      <c r="T85" t="s">
        <v>49</v>
      </c>
      <c r="U85">
        <v>98</v>
      </c>
      <c r="W85">
        <v>3</v>
      </c>
      <c r="X85">
        <v>999778</v>
      </c>
      <c r="Y85" t="s">
        <v>87</v>
      </c>
    </row>
    <row r="86" spans="1:25">
      <c r="A86" s="1" t="s">
        <v>155</v>
      </c>
      <c r="B86" t="s">
        <v>26</v>
      </c>
      <c r="C86" t="s">
        <v>78</v>
      </c>
      <c r="D86" t="s">
        <v>44</v>
      </c>
      <c r="E86" t="s">
        <v>63</v>
      </c>
      <c r="F86" t="s">
        <v>48</v>
      </c>
      <c r="G86" t="s">
        <v>39</v>
      </c>
      <c r="H86" t="s">
        <v>56</v>
      </c>
      <c r="I86" t="s">
        <v>41</v>
      </c>
      <c r="J86" s="2">
        <v>44996</v>
      </c>
      <c r="K86" s="2">
        <v>44998</v>
      </c>
      <c r="L86" s="2">
        <v>45002</v>
      </c>
      <c r="M86" s="2">
        <v>45007</v>
      </c>
      <c r="N86" s="2">
        <v>45021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74</v>
      </c>
      <c r="U86">
        <v>54</v>
      </c>
      <c r="W86">
        <v>6</v>
      </c>
    </row>
    <row r="87" spans="1:25">
      <c r="A87" s="1" t="s">
        <v>156</v>
      </c>
      <c r="B87" t="s">
        <v>43</v>
      </c>
      <c r="C87" t="s">
        <v>78</v>
      </c>
      <c r="D87" t="s">
        <v>73</v>
      </c>
      <c r="E87" t="s">
        <v>102</v>
      </c>
      <c r="F87" t="s">
        <v>30</v>
      </c>
      <c r="G87" t="s">
        <v>39</v>
      </c>
      <c r="H87" t="s">
        <v>32</v>
      </c>
      <c r="I87" t="s">
        <v>41</v>
      </c>
      <c r="J87" s="2">
        <v>45325</v>
      </c>
      <c r="K87" s="2">
        <v>45329</v>
      </c>
      <c r="L87" s="2">
        <v>45337</v>
      </c>
      <c r="M87" s="2">
        <v>45344</v>
      </c>
      <c r="N87" s="2">
        <v>45343</v>
      </c>
      <c r="O87">
        <v>1</v>
      </c>
      <c r="P87">
        <v>1</v>
      </c>
      <c r="Q87">
        <v>0</v>
      </c>
      <c r="R87">
        <v>0</v>
      </c>
      <c r="S87">
        <v>0</v>
      </c>
      <c r="T87" t="s">
        <v>34</v>
      </c>
      <c r="U87">
        <v>69</v>
      </c>
      <c r="W87">
        <v>7</v>
      </c>
    </row>
    <row r="88" spans="1:25">
      <c r="A88" s="1" t="s">
        <v>157</v>
      </c>
      <c r="B88" t="s">
        <v>70</v>
      </c>
      <c r="C88" t="s">
        <v>78</v>
      </c>
      <c r="D88" t="s">
        <v>44</v>
      </c>
      <c r="E88" t="s">
        <v>63</v>
      </c>
      <c r="F88" t="s">
        <v>48</v>
      </c>
      <c r="G88" t="s">
        <v>31</v>
      </c>
      <c r="H88" t="s">
        <v>32</v>
      </c>
      <c r="I88" t="s">
        <v>33</v>
      </c>
      <c r="J88" s="2">
        <v>45290</v>
      </c>
      <c r="K88" s="2">
        <v>45292</v>
      </c>
      <c r="L88" s="2">
        <v>45301</v>
      </c>
      <c r="M88" s="2">
        <v>45306</v>
      </c>
      <c r="N88" s="2">
        <v>45321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74</v>
      </c>
      <c r="U88">
        <v>74</v>
      </c>
      <c r="W88">
        <v>6</v>
      </c>
    </row>
    <row r="89" spans="1:25">
      <c r="A89" s="1" t="s">
        <v>158</v>
      </c>
      <c r="B89" t="s">
        <v>70</v>
      </c>
      <c r="C89" t="s">
        <v>78</v>
      </c>
      <c r="D89" t="s">
        <v>44</v>
      </c>
      <c r="E89" t="s">
        <v>66</v>
      </c>
      <c r="F89" t="s">
        <v>48</v>
      </c>
      <c r="G89" t="s">
        <v>39</v>
      </c>
      <c r="H89" t="s">
        <v>40</v>
      </c>
      <c r="I89" t="s">
        <v>41</v>
      </c>
      <c r="J89" s="2">
        <v>45140</v>
      </c>
      <c r="K89" s="2">
        <v>45144</v>
      </c>
      <c r="L89" s="2">
        <v>45148</v>
      </c>
      <c r="M89" s="2">
        <v>45153</v>
      </c>
      <c r="N89" s="2">
        <v>45179</v>
      </c>
      <c r="O89">
        <v>1</v>
      </c>
      <c r="P89">
        <v>0</v>
      </c>
      <c r="Q89">
        <v>0</v>
      </c>
      <c r="R89">
        <v>0</v>
      </c>
      <c r="S89">
        <v>0</v>
      </c>
      <c r="T89" t="s">
        <v>34</v>
      </c>
      <c r="U89">
        <v>87</v>
      </c>
      <c r="W89">
        <v>6</v>
      </c>
    </row>
    <row r="90" spans="1:25">
      <c r="A90" s="1" t="s">
        <v>159</v>
      </c>
      <c r="B90" t="s">
        <v>70</v>
      </c>
      <c r="C90" t="s">
        <v>47</v>
      </c>
      <c r="D90" t="s">
        <v>73</v>
      </c>
      <c r="E90" t="s">
        <v>29</v>
      </c>
      <c r="F90" t="s">
        <v>48</v>
      </c>
      <c r="G90" t="s">
        <v>45</v>
      </c>
      <c r="H90" t="s">
        <v>40</v>
      </c>
      <c r="I90" t="s">
        <v>33</v>
      </c>
      <c r="J90" s="2">
        <v>45379</v>
      </c>
      <c r="K90" s="2">
        <v>45383</v>
      </c>
      <c r="L90" s="2">
        <v>45392</v>
      </c>
      <c r="M90" s="2">
        <v>45396</v>
      </c>
      <c r="N90" s="2">
        <v>45399</v>
      </c>
      <c r="O90">
        <v>1</v>
      </c>
      <c r="P90">
        <v>0</v>
      </c>
      <c r="Q90">
        <v>0</v>
      </c>
      <c r="R90">
        <v>0</v>
      </c>
      <c r="S90">
        <v>0</v>
      </c>
      <c r="T90" t="s">
        <v>34</v>
      </c>
      <c r="U90">
        <v>56</v>
      </c>
      <c r="W90">
        <v>11</v>
      </c>
    </row>
    <row r="91" spans="1:25">
      <c r="A91" s="1" t="s">
        <v>160</v>
      </c>
      <c r="B91" t="s">
        <v>26</v>
      </c>
      <c r="C91" t="s">
        <v>78</v>
      </c>
      <c r="D91" t="s">
        <v>52</v>
      </c>
      <c r="E91" t="s">
        <v>29</v>
      </c>
      <c r="F91" t="s">
        <v>38</v>
      </c>
      <c r="G91" t="s">
        <v>55</v>
      </c>
      <c r="H91" t="s">
        <v>32</v>
      </c>
      <c r="I91" t="s">
        <v>41</v>
      </c>
      <c r="J91" s="2">
        <v>44960</v>
      </c>
      <c r="K91" s="2">
        <v>44961</v>
      </c>
      <c r="L91" s="2">
        <v>44969</v>
      </c>
      <c r="M91" s="2">
        <v>44974</v>
      </c>
      <c r="N91" s="2">
        <v>44979</v>
      </c>
      <c r="O91">
        <v>1</v>
      </c>
      <c r="P91">
        <v>1</v>
      </c>
      <c r="Q91">
        <v>0</v>
      </c>
      <c r="R91">
        <v>0</v>
      </c>
      <c r="S91">
        <v>0</v>
      </c>
      <c r="T91" t="s">
        <v>34</v>
      </c>
      <c r="U91">
        <v>89</v>
      </c>
      <c r="W91">
        <v>7</v>
      </c>
    </row>
    <row r="92" spans="1:25">
      <c r="A92" s="1" t="s">
        <v>161</v>
      </c>
      <c r="B92" t="s">
        <v>26</v>
      </c>
      <c r="C92" t="s">
        <v>47</v>
      </c>
      <c r="D92" t="s">
        <v>44</v>
      </c>
      <c r="E92" t="s">
        <v>102</v>
      </c>
      <c r="F92" t="s">
        <v>67</v>
      </c>
      <c r="G92" t="s">
        <v>55</v>
      </c>
      <c r="H92" t="s">
        <v>40</v>
      </c>
      <c r="I92" t="s">
        <v>33</v>
      </c>
      <c r="J92" s="2">
        <v>45008</v>
      </c>
      <c r="K92" s="2">
        <v>45013</v>
      </c>
      <c r="L92" s="2">
        <v>45022</v>
      </c>
      <c r="M92" s="2">
        <v>45025</v>
      </c>
      <c r="N92" s="2">
        <v>45033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74</v>
      </c>
      <c r="U92">
        <v>74</v>
      </c>
      <c r="W92">
        <v>15</v>
      </c>
    </row>
    <row r="93" spans="1:25">
      <c r="A93" s="1" t="s">
        <v>162</v>
      </c>
      <c r="B93" t="s">
        <v>26</v>
      </c>
      <c r="C93" t="s">
        <v>78</v>
      </c>
      <c r="D93" t="s">
        <v>28</v>
      </c>
      <c r="E93" t="s">
        <v>66</v>
      </c>
      <c r="F93" t="s">
        <v>48</v>
      </c>
      <c r="G93" t="s">
        <v>31</v>
      </c>
      <c r="H93" t="s">
        <v>32</v>
      </c>
      <c r="I93" t="s">
        <v>33</v>
      </c>
      <c r="J93" s="2">
        <v>45268</v>
      </c>
      <c r="K93" s="2">
        <v>45270</v>
      </c>
      <c r="L93" s="2">
        <v>45279</v>
      </c>
      <c r="M93" s="2">
        <v>45283</v>
      </c>
      <c r="N93" s="2">
        <v>45280</v>
      </c>
      <c r="O93">
        <v>1</v>
      </c>
      <c r="P93">
        <v>1</v>
      </c>
      <c r="Q93">
        <v>1</v>
      </c>
      <c r="R93">
        <v>0</v>
      </c>
      <c r="S93">
        <v>0</v>
      </c>
      <c r="T93" t="s">
        <v>49</v>
      </c>
      <c r="U93">
        <v>79</v>
      </c>
      <c r="W93">
        <v>8</v>
      </c>
      <c r="X93">
        <v>1802377</v>
      </c>
      <c r="Y93" t="s">
        <v>127</v>
      </c>
    </row>
    <row r="94" spans="1:25">
      <c r="A94" s="1" t="s">
        <v>163</v>
      </c>
      <c r="B94" t="s">
        <v>70</v>
      </c>
      <c r="C94" t="s">
        <v>71</v>
      </c>
      <c r="D94" t="s">
        <v>59</v>
      </c>
      <c r="E94" t="s">
        <v>29</v>
      </c>
      <c r="F94" t="s">
        <v>76</v>
      </c>
      <c r="G94" t="s">
        <v>45</v>
      </c>
      <c r="H94" t="s">
        <v>40</v>
      </c>
      <c r="I94" t="s">
        <v>41</v>
      </c>
      <c r="J94" s="2">
        <v>45048</v>
      </c>
      <c r="K94" s="2">
        <v>45050</v>
      </c>
      <c r="L94" s="2">
        <v>45058</v>
      </c>
      <c r="M94" s="2">
        <v>45060</v>
      </c>
      <c r="N94" s="2">
        <v>45069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74</v>
      </c>
      <c r="U94">
        <v>57</v>
      </c>
      <c r="W94">
        <v>3</v>
      </c>
    </row>
    <row r="95" spans="1:25">
      <c r="A95" s="1" t="s">
        <v>164</v>
      </c>
      <c r="B95" t="s">
        <v>36</v>
      </c>
      <c r="C95" t="s">
        <v>47</v>
      </c>
      <c r="D95" t="s">
        <v>73</v>
      </c>
      <c r="E95" t="s">
        <v>29</v>
      </c>
      <c r="F95" t="s">
        <v>76</v>
      </c>
      <c r="G95" t="s">
        <v>55</v>
      </c>
      <c r="H95" t="s">
        <v>32</v>
      </c>
      <c r="I95" t="s">
        <v>41</v>
      </c>
      <c r="J95" s="2">
        <v>44971</v>
      </c>
      <c r="K95" s="2">
        <v>44972</v>
      </c>
      <c r="L95" s="2">
        <v>44977</v>
      </c>
      <c r="M95" s="2">
        <v>44984</v>
      </c>
      <c r="N95" s="2">
        <v>44991</v>
      </c>
      <c r="O95">
        <v>1</v>
      </c>
      <c r="P95">
        <v>1</v>
      </c>
      <c r="Q95">
        <v>1</v>
      </c>
      <c r="R95">
        <v>1</v>
      </c>
      <c r="S95">
        <v>0</v>
      </c>
      <c r="T95" t="s">
        <v>61</v>
      </c>
      <c r="U95">
        <v>93</v>
      </c>
      <c r="V95">
        <v>20</v>
      </c>
      <c r="W95">
        <v>12</v>
      </c>
      <c r="X95">
        <v>2900177</v>
      </c>
    </row>
    <row r="96" spans="1:25">
      <c r="A96" s="1" t="s">
        <v>165</v>
      </c>
      <c r="B96" t="s">
        <v>26</v>
      </c>
      <c r="C96" t="s">
        <v>27</v>
      </c>
      <c r="D96" t="s">
        <v>28</v>
      </c>
      <c r="E96" t="s">
        <v>66</v>
      </c>
      <c r="F96" t="s">
        <v>67</v>
      </c>
      <c r="G96" t="s">
        <v>31</v>
      </c>
      <c r="H96" t="s">
        <v>40</v>
      </c>
      <c r="I96" t="s">
        <v>41</v>
      </c>
      <c r="J96" s="2">
        <v>45378</v>
      </c>
      <c r="K96" s="2">
        <v>45379</v>
      </c>
      <c r="L96" s="2">
        <v>45389</v>
      </c>
      <c r="M96" s="2">
        <v>45394</v>
      </c>
      <c r="N96" s="2">
        <v>45399</v>
      </c>
      <c r="O96">
        <v>0</v>
      </c>
      <c r="P96">
        <v>0</v>
      </c>
      <c r="Q96">
        <v>0</v>
      </c>
      <c r="R96">
        <v>0</v>
      </c>
      <c r="S96">
        <v>1</v>
      </c>
      <c r="T96" t="s">
        <v>74</v>
      </c>
      <c r="U96">
        <v>64</v>
      </c>
      <c r="W96">
        <v>1</v>
      </c>
    </row>
    <row r="97" spans="1:25">
      <c r="A97" s="1" t="s">
        <v>166</v>
      </c>
      <c r="B97" t="s">
        <v>26</v>
      </c>
      <c r="C97" t="s">
        <v>27</v>
      </c>
      <c r="D97" t="s">
        <v>28</v>
      </c>
      <c r="E97" t="s">
        <v>54</v>
      </c>
      <c r="F97" t="s">
        <v>38</v>
      </c>
      <c r="G97" t="s">
        <v>31</v>
      </c>
      <c r="H97" t="s">
        <v>32</v>
      </c>
      <c r="I97" t="s">
        <v>41</v>
      </c>
      <c r="J97" s="2">
        <v>45282</v>
      </c>
      <c r="K97" s="2">
        <v>45286</v>
      </c>
      <c r="L97" s="2">
        <v>45295</v>
      </c>
      <c r="M97" s="2">
        <v>45299</v>
      </c>
      <c r="N97" s="2">
        <v>45296</v>
      </c>
      <c r="O97">
        <v>1</v>
      </c>
      <c r="P97">
        <v>1</v>
      </c>
      <c r="Q97">
        <v>0</v>
      </c>
      <c r="R97">
        <v>0</v>
      </c>
      <c r="S97">
        <v>0</v>
      </c>
      <c r="T97" t="s">
        <v>34</v>
      </c>
      <c r="U97">
        <v>72</v>
      </c>
      <c r="W97">
        <v>0</v>
      </c>
    </row>
    <row r="98" spans="1:25">
      <c r="A98" s="1" t="s">
        <v>167</v>
      </c>
      <c r="B98" t="s">
        <v>43</v>
      </c>
      <c r="C98" t="s">
        <v>27</v>
      </c>
      <c r="D98" t="s">
        <v>73</v>
      </c>
      <c r="E98" t="s">
        <v>66</v>
      </c>
      <c r="F98" t="s">
        <v>76</v>
      </c>
      <c r="G98" t="s">
        <v>45</v>
      </c>
      <c r="H98" t="s">
        <v>32</v>
      </c>
      <c r="I98" t="s">
        <v>33</v>
      </c>
      <c r="J98" s="2">
        <v>45134</v>
      </c>
      <c r="K98" s="2">
        <v>45136</v>
      </c>
      <c r="L98" s="2">
        <v>45145</v>
      </c>
      <c r="M98" s="2">
        <v>45152</v>
      </c>
      <c r="N98" s="2">
        <v>45159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74</v>
      </c>
      <c r="U98">
        <v>82</v>
      </c>
      <c r="W98">
        <v>0</v>
      </c>
    </row>
    <row r="99" spans="1:25">
      <c r="A99" s="1" t="s">
        <v>168</v>
      </c>
      <c r="B99" t="s">
        <v>70</v>
      </c>
      <c r="C99" t="s">
        <v>71</v>
      </c>
      <c r="D99" t="s">
        <v>52</v>
      </c>
      <c r="E99" t="s">
        <v>66</v>
      </c>
      <c r="F99" t="s">
        <v>38</v>
      </c>
      <c r="G99" t="s">
        <v>39</v>
      </c>
      <c r="H99" t="s">
        <v>56</v>
      </c>
      <c r="I99" t="s">
        <v>41</v>
      </c>
      <c r="J99" s="2">
        <v>45296</v>
      </c>
      <c r="K99" s="2">
        <v>45298</v>
      </c>
      <c r="L99" s="2">
        <v>45302</v>
      </c>
      <c r="M99" s="2">
        <v>45308</v>
      </c>
      <c r="N99" s="2">
        <v>45332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74</v>
      </c>
      <c r="U99">
        <v>49</v>
      </c>
      <c r="W99">
        <v>6</v>
      </c>
    </row>
    <row r="100" spans="1:25">
      <c r="A100" s="1" t="s">
        <v>169</v>
      </c>
      <c r="B100" t="s">
        <v>58</v>
      </c>
      <c r="C100" t="s">
        <v>78</v>
      </c>
      <c r="D100" t="s">
        <v>28</v>
      </c>
      <c r="E100" t="s">
        <v>102</v>
      </c>
      <c r="F100" t="s">
        <v>38</v>
      </c>
      <c r="G100" t="s">
        <v>45</v>
      </c>
      <c r="H100" t="s">
        <v>40</v>
      </c>
      <c r="I100" t="s">
        <v>41</v>
      </c>
      <c r="J100" s="2">
        <v>45280</v>
      </c>
      <c r="K100" s="2">
        <v>45283</v>
      </c>
      <c r="L100" s="2">
        <v>45290</v>
      </c>
      <c r="M100" s="2">
        <v>45294</v>
      </c>
      <c r="N100" s="2">
        <v>45296</v>
      </c>
      <c r="O100">
        <v>1</v>
      </c>
      <c r="P100">
        <v>1</v>
      </c>
      <c r="Q100">
        <v>1</v>
      </c>
      <c r="R100">
        <v>0</v>
      </c>
      <c r="S100">
        <v>0</v>
      </c>
      <c r="T100" t="s">
        <v>49</v>
      </c>
      <c r="U100">
        <v>50</v>
      </c>
      <c r="W100">
        <v>10</v>
      </c>
      <c r="X100">
        <v>1694726</v>
      </c>
      <c r="Y100" t="s">
        <v>87</v>
      </c>
    </row>
    <row r="101" spans="1:25">
      <c r="A101" s="1" t="s">
        <v>170</v>
      </c>
      <c r="B101" t="s">
        <v>26</v>
      </c>
      <c r="C101" t="s">
        <v>71</v>
      </c>
      <c r="D101" t="s">
        <v>44</v>
      </c>
      <c r="E101" t="s">
        <v>29</v>
      </c>
      <c r="F101" t="s">
        <v>67</v>
      </c>
      <c r="G101" t="s">
        <v>31</v>
      </c>
      <c r="H101" t="s">
        <v>32</v>
      </c>
      <c r="I101" t="s">
        <v>33</v>
      </c>
      <c r="J101" s="2">
        <v>45370</v>
      </c>
      <c r="K101" s="2">
        <v>45375</v>
      </c>
      <c r="L101" s="2">
        <v>45382</v>
      </c>
      <c r="M101" s="2">
        <v>45388</v>
      </c>
      <c r="N101" s="2">
        <v>45389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74</v>
      </c>
      <c r="U101">
        <v>61</v>
      </c>
      <c r="W101">
        <v>5</v>
      </c>
    </row>
    <row r="102" spans="1:25">
      <c r="A102" s="1" t="s">
        <v>171</v>
      </c>
      <c r="B102" t="s">
        <v>43</v>
      </c>
      <c r="C102" t="s">
        <v>78</v>
      </c>
      <c r="D102" t="s">
        <v>44</v>
      </c>
      <c r="E102" t="s">
        <v>29</v>
      </c>
      <c r="F102" t="s">
        <v>30</v>
      </c>
      <c r="G102" t="s">
        <v>60</v>
      </c>
      <c r="H102" t="s">
        <v>56</v>
      </c>
      <c r="I102" t="s">
        <v>33</v>
      </c>
      <c r="J102" s="2">
        <v>45173</v>
      </c>
      <c r="K102" s="2">
        <v>45175</v>
      </c>
      <c r="L102" s="2">
        <v>45178</v>
      </c>
      <c r="M102" s="2">
        <v>45181</v>
      </c>
      <c r="N102" s="2">
        <v>45188</v>
      </c>
      <c r="O102">
        <v>1</v>
      </c>
      <c r="P102">
        <v>0</v>
      </c>
      <c r="Q102">
        <v>0</v>
      </c>
      <c r="R102">
        <v>0</v>
      </c>
      <c r="S102">
        <v>1</v>
      </c>
      <c r="T102" t="s">
        <v>34</v>
      </c>
      <c r="U102">
        <v>68</v>
      </c>
      <c r="W102">
        <v>7</v>
      </c>
    </row>
    <row r="103" spans="1:25">
      <c r="A103" s="1" t="s">
        <v>172</v>
      </c>
      <c r="B103" t="s">
        <v>70</v>
      </c>
      <c r="C103" t="s">
        <v>27</v>
      </c>
      <c r="D103" t="s">
        <v>59</v>
      </c>
      <c r="E103" t="s">
        <v>102</v>
      </c>
      <c r="F103" t="s">
        <v>64</v>
      </c>
      <c r="G103" t="s">
        <v>60</v>
      </c>
      <c r="H103" t="s">
        <v>40</v>
      </c>
      <c r="I103" t="s">
        <v>33</v>
      </c>
      <c r="J103" s="2">
        <v>45183</v>
      </c>
      <c r="K103" s="2">
        <v>45184</v>
      </c>
      <c r="L103" s="2">
        <v>45194</v>
      </c>
      <c r="M103" s="2">
        <v>45196</v>
      </c>
      <c r="N103" s="2">
        <v>45210</v>
      </c>
      <c r="O103">
        <v>1</v>
      </c>
      <c r="P103">
        <v>1</v>
      </c>
      <c r="Q103">
        <v>0</v>
      </c>
      <c r="R103">
        <v>0</v>
      </c>
      <c r="S103">
        <v>0</v>
      </c>
      <c r="T103" t="s">
        <v>34</v>
      </c>
      <c r="U103">
        <v>82</v>
      </c>
      <c r="W103">
        <v>0</v>
      </c>
    </row>
    <row r="104" spans="1:25">
      <c r="A104" s="1" t="s">
        <v>173</v>
      </c>
      <c r="B104" t="s">
        <v>43</v>
      </c>
      <c r="C104" t="s">
        <v>37</v>
      </c>
      <c r="D104" t="s">
        <v>44</v>
      </c>
      <c r="E104" t="s">
        <v>66</v>
      </c>
      <c r="F104" t="s">
        <v>38</v>
      </c>
      <c r="G104" t="s">
        <v>55</v>
      </c>
      <c r="H104" t="s">
        <v>32</v>
      </c>
      <c r="I104" t="s">
        <v>41</v>
      </c>
      <c r="J104" s="2">
        <v>45297</v>
      </c>
      <c r="K104" s="2">
        <v>45302</v>
      </c>
      <c r="L104" s="2">
        <v>45312</v>
      </c>
      <c r="M104" s="2">
        <v>45316</v>
      </c>
      <c r="N104" s="2">
        <v>45316</v>
      </c>
      <c r="O104">
        <v>1</v>
      </c>
      <c r="P104">
        <v>0</v>
      </c>
      <c r="Q104">
        <v>0</v>
      </c>
      <c r="R104">
        <v>0</v>
      </c>
      <c r="S104">
        <v>0</v>
      </c>
      <c r="T104" t="s">
        <v>34</v>
      </c>
      <c r="U104">
        <v>46</v>
      </c>
      <c r="W104">
        <v>2</v>
      </c>
    </row>
    <row r="105" spans="1:25">
      <c r="A105" s="1" t="s">
        <v>174</v>
      </c>
      <c r="B105" t="s">
        <v>58</v>
      </c>
      <c r="C105" t="s">
        <v>27</v>
      </c>
      <c r="D105" t="s">
        <v>73</v>
      </c>
      <c r="E105" t="s">
        <v>102</v>
      </c>
      <c r="F105" t="s">
        <v>64</v>
      </c>
      <c r="G105" t="s">
        <v>45</v>
      </c>
      <c r="H105" t="s">
        <v>56</v>
      </c>
      <c r="I105" t="s">
        <v>33</v>
      </c>
      <c r="J105" s="2">
        <v>45255</v>
      </c>
      <c r="K105" s="2">
        <v>45257</v>
      </c>
      <c r="L105" s="2">
        <v>45262</v>
      </c>
      <c r="M105" s="2">
        <v>45269</v>
      </c>
      <c r="N105" s="2">
        <v>45275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74</v>
      </c>
      <c r="U105">
        <v>86</v>
      </c>
      <c r="W105">
        <v>0</v>
      </c>
    </row>
    <row r="106" spans="1:25">
      <c r="A106" s="1" t="s">
        <v>175</v>
      </c>
      <c r="B106" t="s">
        <v>70</v>
      </c>
      <c r="C106" t="s">
        <v>78</v>
      </c>
      <c r="D106" t="s">
        <v>73</v>
      </c>
      <c r="E106" t="s">
        <v>66</v>
      </c>
      <c r="F106" t="s">
        <v>67</v>
      </c>
      <c r="G106" t="s">
        <v>31</v>
      </c>
      <c r="H106" t="s">
        <v>40</v>
      </c>
      <c r="I106" t="s">
        <v>33</v>
      </c>
      <c r="J106" s="2">
        <v>45185</v>
      </c>
      <c r="K106" s="2">
        <v>45186</v>
      </c>
      <c r="L106" s="2">
        <v>45194</v>
      </c>
      <c r="M106" s="2">
        <v>45197</v>
      </c>
      <c r="N106" s="2">
        <v>45218</v>
      </c>
      <c r="O106">
        <v>1</v>
      </c>
      <c r="P106">
        <v>1</v>
      </c>
      <c r="Q106">
        <v>1</v>
      </c>
      <c r="R106">
        <v>1</v>
      </c>
      <c r="S106">
        <v>0</v>
      </c>
      <c r="T106" t="s">
        <v>61</v>
      </c>
      <c r="U106">
        <v>97</v>
      </c>
      <c r="V106">
        <v>33</v>
      </c>
      <c r="W106">
        <v>6</v>
      </c>
      <c r="X106">
        <v>2020307</v>
      </c>
    </row>
    <row r="107" spans="1:25">
      <c r="A107" s="1" t="s">
        <v>176</v>
      </c>
      <c r="B107" t="s">
        <v>70</v>
      </c>
      <c r="C107" t="s">
        <v>47</v>
      </c>
      <c r="D107" t="s">
        <v>44</v>
      </c>
      <c r="E107" t="s">
        <v>63</v>
      </c>
      <c r="F107" t="s">
        <v>48</v>
      </c>
      <c r="G107" t="s">
        <v>31</v>
      </c>
      <c r="H107" t="s">
        <v>40</v>
      </c>
      <c r="I107" t="s">
        <v>33</v>
      </c>
      <c r="J107" s="2">
        <v>45137</v>
      </c>
      <c r="K107" s="2">
        <v>45142</v>
      </c>
      <c r="L107" s="2">
        <v>45149</v>
      </c>
      <c r="M107" s="2">
        <v>45153</v>
      </c>
      <c r="N107" s="2">
        <v>45164</v>
      </c>
      <c r="O107">
        <v>1</v>
      </c>
      <c r="P107">
        <v>1</v>
      </c>
      <c r="Q107">
        <v>1</v>
      </c>
      <c r="R107">
        <v>0</v>
      </c>
      <c r="S107">
        <v>0</v>
      </c>
      <c r="T107" t="s">
        <v>49</v>
      </c>
      <c r="U107">
        <v>80</v>
      </c>
      <c r="W107">
        <v>10</v>
      </c>
      <c r="X107">
        <v>1906888</v>
      </c>
      <c r="Y107" t="s">
        <v>50</v>
      </c>
    </row>
    <row r="108" spans="1:25">
      <c r="A108" s="1" t="s">
        <v>177</v>
      </c>
      <c r="B108" t="s">
        <v>70</v>
      </c>
      <c r="C108" t="s">
        <v>78</v>
      </c>
      <c r="D108" t="s">
        <v>44</v>
      </c>
      <c r="E108" t="s">
        <v>102</v>
      </c>
      <c r="F108" t="s">
        <v>76</v>
      </c>
      <c r="G108" t="s">
        <v>60</v>
      </c>
      <c r="H108" t="s">
        <v>56</v>
      </c>
      <c r="I108" t="s">
        <v>33</v>
      </c>
      <c r="J108" s="2">
        <v>45253</v>
      </c>
      <c r="K108" s="2">
        <v>45254</v>
      </c>
      <c r="L108" s="2">
        <v>45257</v>
      </c>
      <c r="M108" s="2">
        <v>45261</v>
      </c>
      <c r="N108" s="2">
        <v>45273</v>
      </c>
      <c r="O108">
        <v>1</v>
      </c>
      <c r="P108">
        <v>1</v>
      </c>
      <c r="Q108">
        <v>1</v>
      </c>
      <c r="R108">
        <v>1</v>
      </c>
      <c r="S108">
        <v>0</v>
      </c>
      <c r="T108" t="s">
        <v>61</v>
      </c>
      <c r="U108">
        <v>81</v>
      </c>
      <c r="V108">
        <v>20</v>
      </c>
      <c r="W108">
        <v>6</v>
      </c>
      <c r="X108">
        <v>1572330</v>
      </c>
    </row>
    <row r="109" spans="1:25">
      <c r="A109" s="1" t="s">
        <v>178</v>
      </c>
      <c r="B109" t="s">
        <v>70</v>
      </c>
      <c r="C109" t="s">
        <v>71</v>
      </c>
      <c r="D109" t="s">
        <v>44</v>
      </c>
      <c r="E109" t="s">
        <v>29</v>
      </c>
      <c r="F109" t="s">
        <v>67</v>
      </c>
      <c r="G109" t="s">
        <v>31</v>
      </c>
      <c r="H109" t="s">
        <v>40</v>
      </c>
      <c r="I109" t="s">
        <v>33</v>
      </c>
      <c r="J109" s="2">
        <v>45349</v>
      </c>
      <c r="K109" s="2">
        <v>45352</v>
      </c>
      <c r="L109" s="2">
        <v>45362</v>
      </c>
      <c r="M109" s="2">
        <v>45368</v>
      </c>
      <c r="N109" s="2">
        <v>45388</v>
      </c>
      <c r="O109">
        <v>1</v>
      </c>
      <c r="P109">
        <v>1</v>
      </c>
      <c r="Q109">
        <v>1</v>
      </c>
      <c r="R109">
        <v>1</v>
      </c>
      <c r="S109">
        <v>0</v>
      </c>
      <c r="T109" t="s">
        <v>61</v>
      </c>
      <c r="U109">
        <v>53</v>
      </c>
      <c r="V109">
        <v>39</v>
      </c>
      <c r="W109">
        <v>3</v>
      </c>
      <c r="X109">
        <v>1138079</v>
      </c>
    </row>
    <row r="110" spans="1:25">
      <c r="A110" s="1" t="s">
        <v>179</v>
      </c>
      <c r="B110" t="s">
        <v>58</v>
      </c>
      <c r="C110" t="s">
        <v>47</v>
      </c>
      <c r="D110" t="s">
        <v>52</v>
      </c>
      <c r="E110" t="s">
        <v>66</v>
      </c>
      <c r="F110" t="s">
        <v>67</v>
      </c>
      <c r="G110" t="s">
        <v>60</v>
      </c>
      <c r="H110" t="s">
        <v>56</v>
      </c>
      <c r="I110" t="s">
        <v>41</v>
      </c>
      <c r="J110" s="2">
        <v>45413</v>
      </c>
      <c r="K110" s="2">
        <v>45417</v>
      </c>
      <c r="L110" s="2">
        <v>45422</v>
      </c>
      <c r="M110" s="2">
        <v>45424</v>
      </c>
      <c r="N110" s="2">
        <v>45426</v>
      </c>
      <c r="O110">
        <v>1</v>
      </c>
      <c r="P110">
        <v>0</v>
      </c>
      <c r="Q110">
        <v>0</v>
      </c>
      <c r="R110">
        <v>0</v>
      </c>
      <c r="S110">
        <v>1</v>
      </c>
      <c r="T110" t="s">
        <v>34</v>
      </c>
      <c r="U110">
        <v>54</v>
      </c>
      <c r="W110">
        <v>10</v>
      </c>
    </row>
    <row r="111" spans="1:25">
      <c r="A111" s="1" t="s">
        <v>180</v>
      </c>
      <c r="B111" t="s">
        <v>36</v>
      </c>
      <c r="C111" t="s">
        <v>47</v>
      </c>
      <c r="D111" t="s">
        <v>28</v>
      </c>
      <c r="E111" t="s">
        <v>54</v>
      </c>
      <c r="F111" t="s">
        <v>76</v>
      </c>
      <c r="G111" t="s">
        <v>39</v>
      </c>
      <c r="H111" t="s">
        <v>32</v>
      </c>
      <c r="I111" t="s">
        <v>41</v>
      </c>
      <c r="J111" s="2">
        <v>45045</v>
      </c>
      <c r="K111" s="2">
        <v>45050</v>
      </c>
      <c r="L111" s="2">
        <v>45054</v>
      </c>
      <c r="M111" s="2">
        <v>45059</v>
      </c>
      <c r="N111" s="2">
        <v>45063</v>
      </c>
      <c r="O111">
        <v>1</v>
      </c>
      <c r="P111">
        <v>0</v>
      </c>
      <c r="Q111">
        <v>0</v>
      </c>
      <c r="R111">
        <v>0</v>
      </c>
      <c r="S111">
        <v>0</v>
      </c>
      <c r="T111" t="s">
        <v>34</v>
      </c>
      <c r="U111">
        <v>52</v>
      </c>
      <c r="W111">
        <v>10</v>
      </c>
    </row>
    <row r="112" spans="1:25">
      <c r="A112" s="1" t="s">
        <v>181</v>
      </c>
      <c r="B112" t="s">
        <v>43</v>
      </c>
      <c r="C112" t="s">
        <v>37</v>
      </c>
      <c r="D112" t="s">
        <v>44</v>
      </c>
      <c r="E112" t="s">
        <v>54</v>
      </c>
      <c r="F112" t="s">
        <v>48</v>
      </c>
      <c r="G112" t="s">
        <v>55</v>
      </c>
      <c r="H112" t="s">
        <v>40</v>
      </c>
      <c r="I112" t="s">
        <v>33</v>
      </c>
      <c r="J112" s="2">
        <v>45079</v>
      </c>
      <c r="K112" s="2">
        <v>45083</v>
      </c>
      <c r="L112" s="2">
        <v>45086</v>
      </c>
      <c r="M112" s="2">
        <v>45089</v>
      </c>
      <c r="N112" s="2">
        <v>45102</v>
      </c>
      <c r="O112">
        <v>1</v>
      </c>
      <c r="P112">
        <v>1</v>
      </c>
      <c r="Q112">
        <v>0</v>
      </c>
      <c r="R112">
        <v>0</v>
      </c>
      <c r="S112">
        <v>0</v>
      </c>
      <c r="T112" t="s">
        <v>34</v>
      </c>
      <c r="U112">
        <v>84</v>
      </c>
      <c r="W112">
        <v>4</v>
      </c>
    </row>
    <row r="113" spans="1:25">
      <c r="A113" s="1" t="s">
        <v>182</v>
      </c>
      <c r="B113" t="s">
        <v>26</v>
      </c>
      <c r="C113" t="s">
        <v>47</v>
      </c>
      <c r="D113" t="s">
        <v>52</v>
      </c>
      <c r="E113" t="s">
        <v>102</v>
      </c>
      <c r="F113" t="s">
        <v>76</v>
      </c>
      <c r="G113" t="s">
        <v>45</v>
      </c>
      <c r="H113" t="s">
        <v>56</v>
      </c>
      <c r="I113" t="s">
        <v>41</v>
      </c>
      <c r="J113" s="2">
        <v>45379</v>
      </c>
      <c r="K113" s="2">
        <v>45384</v>
      </c>
      <c r="L113" s="2">
        <v>45389</v>
      </c>
      <c r="M113" s="2">
        <v>45396</v>
      </c>
      <c r="N113" s="2">
        <v>45397</v>
      </c>
      <c r="O113">
        <v>1</v>
      </c>
      <c r="P113">
        <v>1</v>
      </c>
      <c r="Q113">
        <v>1</v>
      </c>
      <c r="R113">
        <v>1</v>
      </c>
      <c r="S113">
        <v>0</v>
      </c>
      <c r="T113" t="s">
        <v>61</v>
      </c>
      <c r="U113">
        <v>50</v>
      </c>
      <c r="V113">
        <v>18</v>
      </c>
      <c r="W113">
        <v>15</v>
      </c>
      <c r="X113">
        <v>1987711</v>
      </c>
    </row>
    <row r="114" spans="1:25">
      <c r="A114" s="1" t="s">
        <v>183</v>
      </c>
      <c r="B114" t="s">
        <v>26</v>
      </c>
      <c r="C114" t="s">
        <v>78</v>
      </c>
      <c r="D114" t="s">
        <v>73</v>
      </c>
      <c r="E114" t="s">
        <v>63</v>
      </c>
      <c r="F114" t="s">
        <v>48</v>
      </c>
      <c r="G114" t="s">
        <v>39</v>
      </c>
      <c r="H114" t="s">
        <v>32</v>
      </c>
      <c r="I114" t="s">
        <v>33</v>
      </c>
      <c r="J114" s="2">
        <v>45342</v>
      </c>
      <c r="K114" s="2">
        <v>45344</v>
      </c>
      <c r="L114" s="2">
        <v>45354</v>
      </c>
      <c r="M114" s="2">
        <v>45357</v>
      </c>
      <c r="N114" s="2">
        <v>45365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74</v>
      </c>
      <c r="U114">
        <v>52</v>
      </c>
      <c r="W114">
        <v>7</v>
      </c>
    </row>
    <row r="115" spans="1:25">
      <c r="A115" s="1" t="s">
        <v>184</v>
      </c>
      <c r="B115" t="s">
        <v>70</v>
      </c>
      <c r="C115" t="s">
        <v>47</v>
      </c>
      <c r="D115" t="s">
        <v>73</v>
      </c>
      <c r="E115" t="s">
        <v>66</v>
      </c>
      <c r="F115" t="s">
        <v>76</v>
      </c>
      <c r="G115" t="s">
        <v>55</v>
      </c>
      <c r="H115" t="s">
        <v>56</v>
      </c>
      <c r="I115" t="s">
        <v>33</v>
      </c>
      <c r="J115" s="2">
        <v>45402</v>
      </c>
      <c r="K115" s="2">
        <v>45407</v>
      </c>
      <c r="L115" s="2">
        <v>45415</v>
      </c>
      <c r="M115" s="2">
        <v>45419</v>
      </c>
      <c r="N115" s="2">
        <v>45427</v>
      </c>
      <c r="O115">
        <v>1</v>
      </c>
      <c r="P115">
        <v>1</v>
      </c>
      <c r="Q115">
        <v>0</v>
      </c>
      <c r="R115">
        <v>0</v>
      </c>
      <c r="S115">
        <v>0</v>
      </c>
      <c r="T115" t="s">
        <v>34</v>
      </c>
      <c r="U115">
        <v>54</v>
      </c>
      <c r="W115">
        <v>8</v>
      </c>
    </row>
    <row r="116" spans="1:25">
      <c r="A116" s="1" t="s">
        <v>185</v>
      </c>
      <c r="B116" t="s">
        <v>26</v>
      </c>
      <c r="C116" t="s">
        <v>71</v>
      </c>
      <c r="D116" t="s">
        <v>59</v>
      </c>
      <c r="E116" t="s">
        <v>63</v>
      </c>
      <c r="F116" t="s">
        <v>64</v>
      </c>
      <c r="G116" t="s">
        <v>60</v>
      </c>
      <c r="H116" t="s">
        <v>40</v>
      </c>
      <c r="I116" t="s">
        <v>41</v>
      </c>
      <c r="J116" s="2">
        <v>45038</v>
      </c>
      <c r="K116" s="2">
        <v>45040</v>
      </c>
      <c r="L116" s="2">
        <v>45045</v>
      </c>
      <c r="M116" s="2">
        <v>45047</v>
      </c>
      <c r="N116" s="2">
        <v>45050</v>
      </c>
      <c r="O116">
        <v>1</v>
      </c>
      <c r="P116">
        <v>1</v>
      </c>
      <c r="Q116">
        <v>1</v>
      </c>
      <c r="R116">
        <v>1</v>
      </c>
      <c r="S116">
        <v>0</v>
      </c>
      <c r="T116" t="s">
        <v>61</v>
      </c>
      <c r="U116">
        <v>82</v>
      </c>
      <c r="V116">
        <v>12</v>
      </c>
      <c r="W116">
        <v>7</v>
      </c>
      <c r="X116">
        <v>928247</v>
      </c>
    </row>
    <row r="117" spans="1:25">
      <c r="A117" s="1" t="s">
        <v>186</v>
      </c>
      <c r="B117" t="s">
        <v>70</v>
      </c>
      <c r="C117" t="s">
        <v>27</v>
      </c>
      <c r="D117" t="s">
        <v>52</v>
      </c>
      <c r="E117" t="s">
        <v>66</v>
      </c>
      <c r="F117" t="s">
        <v>38</v>
      </c>
      <c r="G117" t="s">
        <v>31</v>
      </c>
      <c r="H117" t="s">
        <v>32</v>
      </c>
      <c r="I117" t="s">
        <v>33</v>
      </c>
      <c r="J117" s="2">
        <v>44996</v>
      </c>
      <c r="K117" s="2">
        <v>44997</v>
      </c>
      <c r="L117" s="2">
        <v>45001</v>
      </c>
      <c r="M117" s="2">
        <v>45005</v>
      </c>
      <c r="N117" s="2">
        <v>45030</v>
      </c>
      <c r="O117">
        <v>1</v>
      </c>
      <c r="P117">
        <v>1</v>
      </c>
      <c r="Q117">
        <v>1</v>
      </c>
      <c r="R117">
        <v>0</v>
      </c>
      <c r="S117">
        <v>0</v>
      </c>
      <c r="T117" t="s">
        <v>49</v>
      </c>
      <c r="U117">
        <v>67</v>
      </c>
      <c r="W117">
        <v>2</v>
      </c>
      <c r="X117">
        <v>465965</v>
      </c>
      <c r="Y117" t="s">
        <v>68</v>
      </c>
    </row>
    <row r="118" spans="1:25">
      <c r="A118" s="1" t="s">
        <v>187</v>
      </c>
      <c r="B118" t="s">
        <v>43</v>
      </c>
      <c r="C118" t="s">
        <v>47</v>
      </c>
      <c r="D118" t="s">
        <v>59</v>
      </c>
      <c r="E118" t="s">
        <v>54</v>
      </c>
      <c r="F118" t="s">
        <v>64</v>
      </c>
      <c r="G118" t="s">
        <v>31</v>
      </c>
      <c r="H118" t="s">
        <v>32</v>
      </c>
      <c r="I118" t="s">
        <v>33</v>
      </c>
      <c r="J118" s="2">
        <v>44935</v>
      </c>
      <c r="K118" s="2">
        <v>44937</v>
      </c>
      <c r="L118" s="2">
        <v>44944</v>
      </c>
      <c r="M118" s="2">
        <v>44947</v>
      </c>
      <c r="N118" s="2">
        <v>44963</v>
      </c>
      <c r="O118">
        <v>1</v>
      </c>
      <c r="P118">
        <v>0</v>
      </c>
      <c r="Q118">
        <v>0</v>
      </c>
      <c r="R118">
        <v>0</v>
      </c>
      <c r="S118">
        <v>0</v>
      </c>
      <c r="T118" t="s">
        <v>34</v>
      </c>
      <c r="U118">
        <v>47</v>
      </c>
      <c r="W118">
        <v>9</v>
      </c>
    </row>
    <row r="119" spans="1:25">
      <c r="A119" s="1" t="s">
        <v>188</v>
      </c>
      <c r="B119" t="s">
        <v>58</v>
      </c>
      <c r="C119" t="s">
        <v>47</v>
      </c>
      <c r="D119" t="s">
        <v>44</v>
      </c>
      <c r="E119" t="s">
        <v>102</v>
      </c>
      <c r="F119" t="s">
        <v>30</v>
      </c>
      <c r="G119" t="s">
        <v>45</v>
      </c>
      <c r="H119" t="s">
        <v>32</v>
      </c>
      <c r="I119" t="s">
        <v>41</v>
      </c>
      <c r="J119" s="2">
        <v>45139</v>
      </c>
      <c r="K119" s="2">
        <v>45142</v>
      </c>
      <c r="L119" s="2">
        <v>45146</v>
      </c>
      <c r="M119" s="2">
        <v>45149</v>
      </c>
      <c r="N119" s="2">
        <v>45159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74</v>
      </c>
      <c r="U119">
        <v>88</v>
      </c>
      <c r="W119">
        <v>11</v>
      </c>
    </row>
    <row r="120" spans="1:25">
      <c r="A120" s="1" t="s">
        <v>189</v>
      </c>
      <c r="B120" t="s">
        <v>43</v>
      </c>
      <c r="C120" t="s">
        <v>71</v>
      </c>
      <c r="D120" t="s">
        <v>59</v>
      </c>
      <c r="E120" t="s">
        <v>54</v>
      </c>
      <c r="F120" t="s">
        <v>30</v>
      </c>
      <c r="G120" t="s">
        <v>55</v>
      </c>
      <c r="H120" t="s">
        <v>32</v>
      </c>
      <c r="I120" t="s">
        <v>41</v>
      </c>
      <c r="J120" s="2">
        <v>44935</v>
      </c>
      <c r="K120" s="2">
        <v>44940</v>
      </c>
      <c r="L120" s="2">
        <v>44947</v>
      </c>
      <c r="M120" s="2">
        <v>44949</v>
      </c>
      <c r="N120" s="2">
        <v>44956</v>
      </c>
      <c r="O120">
        <v>1</v>
      </c>
      <c r="P120">
        <v>1</v>
      </c>
      <c r="Q120">
        <v>1</v>
      </c>
      <c r="R120">
        <v>1</v>
      </c>
      <c r="S120">
        <v>0</v>
      </c>
      <c r="T120" t="s">
        <v>61</v>
      </c>
      <c r="U120">
        <v>61</v>
      </c>
      <c r="V120">
        <v>21</v>
      </c>
      <c r="W120">
        <v>3</v>
      </c>
      <c r="X120">
        <v>962882</v>
      </c>
    </row>
    <row r="121" spans="1:25">
      <c r="A121" s="1" t="s">
        <v>190</v>
      </c>
      <c r="B121" t="s">
        <v>26</v>
      </c>
      <c r="C121" t="s">
        <v>47</v>
      </c>
      <c r="D121" t="s">
        <v>44</v>
      </c>
      <c r="E121" t="s">
        <v>63</v>
      </c>
      <c r="F121" t="s">
        <v>67</v>
      </c>
      <c r="G121" t="s">
        <v>31</v>
      </c>
      <c r="H121" t="s">
        <v>56</v>
      </c>
      <c r="I121" t="s">
        <v>33</v>
      </c>
      <c r="J121" s="2">
        <v>45139</v>
      </c>
      <c r="K121" s="2">
        <v>45140</v>
      </c>
      <c r="L121" s="2">
        <v>45144</v>
      </c>
      <c r="M121" s="2">
        <v>45150</v>
      </c>
      <c r="N121" s="2">
        <v>45162</v>
      </c>
      <c r="O121">
        <v>1</v>
      </c>
      <c r="P121">
        <v>1</v>
      </c>
      <c r="Q121">
        <v>1</v>
      </c>
      <c r="R121">
        <v>1</v>
      </c>
      <c r="S121">
        <v>0</v>
      </c>
      <c r="T121" t="s">
        <v>61</v>
      </c>
      <c r="U121">
        <v>57</v>
      </c>
      <c r="V121">
        <v>23</v>
      </c>
      <c r="W121">
        <v>8</v>
      </c>
      <c r="X121">
        <v>2741970</v>
      </c>
    </row>
    <row r="122" spans="1:25">
      <c r="A122" s="1" t="s">
        <v>191</v>
      </c>
      <c r="B122" t="s">
        <v>58</v>
      </c>
      <c r="C122" t="s">
        <v>71</v>
      </c>
      <c r="D122" t="s">
        <v>44</v>
      </c>
      <c r="E122" t="s">
        <v>66</v>
      </c>
      <c r="F122" t="s">
        <v>67</v>
      </c>
      <c r="G122" t="s">
        <v>31</v>
      </c>
      <c r="H122" t="s">
        <v>56</v>
      </c>
      <c r="I122" t="s">
        <v>33</v>
      </c>
      <c r="J122" s="2">
        <v>45044</v>
      </c>
      <c r="K122" s="2">
        <v>45047</v>
      </c>
      <c r="L122" s="2">
        <v>45053</v>
      </c>
      <c r="M122" s="2">
        <v>45056</v>
      </c>
      <c r="N122" s="2">
        <v>45056</v>
      </c>
      <c r="O122">
        <v>1</v>
      </c>
      <c r="P122">
        <v>0</v>
      </c>
      <c r="Q122">
        <v>0</v>
      </c>
      <c r="R122">
        <v>0</v>
      </c>
      <c r="S122">
        <v>0</v>
      </c>
      <c r="T122" t="s">
        <v>34</v>
      </c>
      <c r="U122">
        <v>76</v>
      </c>
      <c r="W122">
        <v>6</v>
      </c>
    </row>
    <row r="123" spans="1:25">
      <c r="A123" s="1" t="s">
        <v>192</v>
      </c>
      <c r="B123" t="s">
        <v>26</v>
      </c>
      <c r="C123" t="s">
        <v>37</v>
      </c>
      <c r="D123" t="s">
        <v>73</v>
      </c>
      <c r="E123" t="s">
        <v>63</v>
      </c>
      <c r="F123" t="s">
        <v>67</v>
      </c>
      <c r="G123" t="s">
        <v>39</v>
      </c>
      <c r="H123" t="s">
        <v>40</v>
      </c>
      <c r="I123" t="s">
        <v>33</v>
      </c>
      <c r="J123" s="2">
        <v>45273</v>
      </c>
      <c r="K123" s="2">
        <v>45276</v>
      </c>
      <c r="L123" s="2">
        <v>45286</v>
      </c>
      <c r="M123" s="2">
        <v>45290</v>
      </c>
      <c r="N123" s="2">
        <v>45293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74</v>
      </c>
      <c r="U123">
        <v>76</v>
      </c>
      <c r="W123">
        <v>2</v>
      </c>
    </row>
    <row r="124" spans="1:25">
      <c r="A124" s="1" t="s">
        <v>193</v>
      </c>
      <c r="B124" t="s">
        <v>43</v>
      </c>
      <c r="C124" t="s">
        <v>47</v>
      </c>
      <c r="D124" t="s">
        <v>28</v>
      </c>
      <c r="E124" t="s">
        <v>29</v>
      </c>
      <c r="F124" t="s">
        <v>30</v>
      </c>
      <c r="G124" t="s">
        <v>31</v>
      </c>
      <c r="H124" t="s">
        <v>56</v>
      </c>
      <c r="I124" t="s">
        <v>33</v>
      </c>
      <c r="J124" s="2">
        <v>45436</v>
      </c>
      <c r="K124" s="2">
        <v>45441</v>
      </c>
      <c r="L124" s="2">
        <v>45448</v>
      </c>
      <c r="M124" s="2">
        <v>45453</v>
      </c>
      <c r="N124" s="2">
        <v>45464</v>
      </c>
      <c r="O124">
        <v>1</v>
      </c>
      <c r="P124">
        <v>1</v>
      </c>
      <c r="Q124">
        <v>1</v>
      </c>
      <c r="R124">
        <v>1</v>
      </c>
      <c r="S124">
        <v>0</v>
      </c>
      <c r="T124" t="s">
        <v>61</v>
      </c>
      <c r="U124">
        <v>46</v>
      </c>
      <c r="V124">
        <v>28</v>
      </c>
      <c r="W124">
        <v>10</v>
      </c>
      <c r="X124">
        <v>3012384</v>
      </c>
    </row>
    <row r="125" spans="1:25">
      <c r="A125" s="1" t="s">
        <v>194</v>
      </c>
      <c r="B125" t="s">
        <v>58</v>
      </c>
      <c r="C125" t="s">
        <v>27</v>
      </c>
      <c r="D125" t="s">
        <v>28</v>
      </c>
      <c r="E125" t="s">
        <v>54</v>
      </c>
      <c r="F125" t="s">
        <v>38</v>
      </c>
      <c r="G125" t="s">
        <v>45</v>
      </c>
      <c r="H125" t="s">
        <v>40</v>
      </c>
      <c r="I125" t="s">
        <v>41</v>
      </c>
      <c r="J125" s="2">
        <v>45358</v>
      </c>
      <c r="K125" s="2">
        <v>45361</v>
      </c>
      <c r="L125" s="2">
        <v>45366</v>
      </c>
      <c r="M125" s="2">
        <v>45372</v>
      </c>
      <c r="N125" s="2">
        <v>45373</v>
      </c>
      <c r="O125">
        <v>0</v>
      </c>
      <c r="P125">
        <v>0</v>
      </c>
      <c r="Q125">
        <v>0</v>
      </c>
      <c r="R125">
        <v>0</v>
      </c>
      <c r="S125">
        <v>1</v>
      </c>
      <c r="T125" t="s">
        <v>74</v>
      </c>
      <c r="U125">
        <v>52</v>
      </c>
      <c r="W125">
        <v>2</v>
      </c>
    </row>
    <row r="126" spans="1:25">
      <c r="A126" s="1" t="s">
        <v>195</v>
      </c>
      <c r="B126" t="s">
        <v>43</v>
      </c>
      <c r="C126" t="s">
        <v>71</v>
      </c>
      <c r="D126" t="s">
        <v>73</v>
      </c>
      <c r="E126" t="s">
        <v>66</v>
      </c>
      <c r="F126" t="s">
        <v>30</v>
      </c>
      <c r="G126" t="s">
        <v>60</v>
      </c>
      <c r="H126" t="s">
        <v>40</v>
      </c>
      <c r="I126" t="s">
        <v>41</v>
      </c>
      <c r="J126" s="2">
        <v>45042</v>
      </c>
      <c r="K126" s="2">
        <v>45047</v>
      </c>
      <c r="L126" s="2">
        <v>45056</v>
      </c>
      <c r="M126" s="2">
        <v>45061</v>
      </c>
      <c r="N126" s="2">
        <v>45066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74</v>
      </c>
      <c r="U126">
        <v>84</v>
      </c>
      <c r="W126">
        <v>3</v>
      </c>
    </row>
    <row r="127" spans="1:25">
      <c r="A127" s="1" t="s">
        <v>196</v>
      </c>
      <c r="B127" t="s">
        <v>43</v>
      </c>
      <c r="C127" t="s">
        <v>27</v>
      </c>
      <c r="D127" t="s">
        <v>59</v>
      </c>
      <c r="E127" t="s">
        <v>63</v>
      </c>
      <c r="F127" t="s">
        <v>76</v>
      </c>
      <c r="G127" t="s">
        <v>31</v>
      </c>
      <c r="H127" t="s">
        <v>40</v>
      </c>
      <c r="I127" t="s">
        <v>41</v>
      </c>
      <c r="J127" s="2">
        <v>45159</v>
      </c>
      <c r="K127" s="2">
        <v>45163</v>
      </c>
      <c r="L127" s="2">
        <v>45166</v>
      </c>
      <c r="M127" s="2">
        <v>45172</v>
      </c>
      <c r="N127" s="2">
        <v>45180</v>
      </c>
      <c r="O127">
        <v>1</v>
      </c>
      <c r="P127">
        <v>1</v>
      </c>
      <c r="Q127">
        <v>1</v>
      </c>
      <c r="R127">
        <v>1</v>
      </c>
      <c r="S127">
        <v>0</v>
      </c>
      <c r="T127" t="s">
        <v>61</v>
      </c>
      <c r="U127">
        <v>57</v>
      </c>
      <c r="V127">
        <v>21</v>
      </c>
      <c r="W127">
        <v>0</v>
      </c>
      <c r="X127">
        <v>418932</v>
      </c>
    </row>
    <row r="128" spans="1:25">
      <c r="A128" s="1" t="s">
        <v>197</v>
      </c>
      <c r="B128" t="s">
        <v>36</v>
      </c>
      <c r="C128" t="s">
        <v>37</v>
      </c>
      <c r="D128" t="s">
        <v>28</v>
      </c>
      <c r="E128" t="s">
        <v>63</v>
      </c>
      <c r="F128" t="s">
        <v>48</v>
      </c>
      <c r="G128" t="s">
        <v>39</v>
      </c>
      <c r="H128" t="s">
        <v>40</v>
      </c>
      <c r="I128" t="s">
        <v>33</v>
      </c>
      <c r="J128" s="2">
        <v>44930</v>
      </c>
      <c r="K128" s="2">
        <v>44935</v>
      </c>
      <c r="L128" s="2">
        <v>44939</v>
      </c>
      <c r="M128" s="2">
        <v>44943</v>
      </c>
      <c r="N128" s="2">
        <v>44959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74</v>
      </c>
      <c r="U128">
        <v>86</v>
      </c>
      <c r="W128">
        <v>1</v>
      </c>
    </row>
    <row r="129" spans="1:25">
      <c r="A129" s="1" t="s">
        <v>198</v>
      </c>
      <c r="B129" t="s">
        <v>36</v>
      </c>
      <c r="C129" t="s">
        <v>37</v>
      </c>
      <c r="D129" t="s">
        <v>59</v>
      </c>
      <c r="E129" t="s">
        <v>66</v>
      </c>
      <c r="F129" t="s">
        <v>67</v>
      </c>
      <c r="G129" t="s">
        <v>55</v>
      </c>
      <c r="H129" t="s">
        <v>32</v>
      </c>
      <c r="I129" t="s">
        <v>41</v>
      </c>
      <c r="J129" s="2">
        <v>45140</v>
      </c>
      <c r="K129" s="2">
        <v>45144</v>
      </c>
      <c r="L129" s="2">
        <v>45148</v>
      </c>
      <c r="M129" s="2">
        <v>45150</v>
      </c>
      <c r="N129" s="2">
        <v>45169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74</v>
      </c>
      <c r="U129">
        <v>85</v>
      </c>
      <c r="W129">
        <v>1</v>
      </c>
    </row>
    <row r="130" spans="1:25">
      <c r="A130" s="1" t="s">
        <v>199</v>
      </c>
      <c r="B130" t="s">
        <v>36</v>
      </c>
      <c r="C130" t="s">
        <v>47</v>
      </c>
      <c r="D130" t="s">
        <v>44</v>
      </c>
      <c r="E130" t="s">
        <v>66</v>
      </c>
      <c r="F130" t="s">
        <v>38</v>
      </c>
      <c r="G130" t="s">
        <v>39</v>
      </c>
      <c r="H130" t="s">
        <v>56</v>
      </c>
      <c r="I130" t="s">
        <v>33</v>
      </c>
      <c r="J130" s="2">
        <v>45227</v>
      </c>
      <c r="K130" s="2">
        <v>45228</v>
      </c>
      <c r="L130" s="2">
        <v>45234</v>
      </c>
      <c r="M130" s="2">
        <v>45236</v>
      </c>
      <c r="N130" s="2">
        <v>45248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74</v>
      </c>
      <c r="U130">
        <v>47</v>
      </c>
      <c r="W130">
        <v>11</v>
      </c>
    </row>
    <row r="131" spans="1:25">
      <c r="A131" s="1" t="s">
        <v>200</v>
      </c>
      <c r="B131" t="s">
        <v>90</v>
      </c>
      <c r="C131" t="s">
        <v>37</v>
      </c>
      <c r="D131" t="s">
        <v>44</v>
      </c>
      <c r="E131" t="s">
        <v>102</v>
      </c>
      <c r="F131" t="s">
        <v>64</v>
      </c>
      <c r="G131" t="s">
        <v>45</v>
      </c>
      <c r="H131" t="s">
        <v>56</v>
      </c>
      <c r="I131" t="s">
        <v>33</v>
      </c>
      <c r="J131" s="2">
        <v>45399</v>
      </c>
      <c r="K131" s="2">
        <v>45400</v>
      </c>
      <c r="L131" s="2">
        <v>45405</v>
      </c>
      <c r="M131" s="2">
        <v>45412</v>
      </c>
      <c r="N131" s="2">
        <v>45421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74</v>
      </c>
      <c r="U131">
        <v>96</v>
      </c>
      <c r="W131">
        <v>4</v>
      </c>
    </row>
    <row r="132" spans="1:25">
      <c r="A132" s="1" t="s">
        <v>201</v>
      </c>
      <c r="B132" t="s">
        <v>70</v>
      </c>
      <c r="C132" t="s">
        <v>71</v>
      </c>
      <c r="D132" t="s">
        <v>59</v>
      </c>
      <c r="E132" t="s">
        <v>66</v>
      </c>
      <c r="F132" t="s">
        <v>30</v>
      </c>
      <c r="G132" t="s">
        <v>39</v>
      </c>
      <c r="H132" t="s">
        <v>32</v>
      </c>
      <c r="I132" t="s">
        <v>33</v>
      </c>
      <c r="J132" s="2">
        <v>45160</v>
      </c>
      <c r="K132" s="2">
        <v>45161</v>
      </c>
      <c r="L132" s="2">
        <v>45164</v>
      </c>
      <c r="M132" s="2">
        <v>45167</v>
      </c>
      <c r="N132" s="2">
        <v>45196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74</v>
      </c>
      <c r="U132">
        <v>79</v>
      </c>
      <c r="W132">
        <v>3</v>
      </c>
    </row>
    <row r="133" spans="1:25">
      <c r="A133" s="1" t="s">
        <v>202</v>
      </c>
      <c r="B133" t="s">
        <v>70</v>
      </c>
      <c r="C133" t="s">
        <v>71</v>
      </c>
      <c r="D133" t="s">
        <v>28</v>
      </c>
      <c r="E133" t="s">
        <v>102</v>
      </c>
      <c r="F133" t="s">
        <v>76</v>
      </c>
      <c r="G133" t="s">
        <v>55</v>
      </c>
      <c r="H133" t="s">
        <v>32</v>
      </c>
      <c r="I133" t="s">
        <v>41</v>
      </c>
      <c r="J133" s="2">
        <v>45002</v>
      </c>
      <c r="K133" s="2">
        <v>45005</v>
      </c>
      <c r="L133" s="2">
        <v>45008</v>
      </c>
      <c r="M133" s="2">
        <v>45012</v>
      </c>
      <c r="N133" s="2">
        <v>45033</v>
      </c>
      <c r="O133">
        <v>1</v>
      </c>
      <c r="P133">
        <v>1</v>
      </c>
      <c r="Q133">
        <v>1</v>
      </c>
      <c r="R133">
        <v>0</v>
      </c>
      <c r="S133">
        <v>0</v>
      </c>
      <c r="T133" t="s">
        <v>49</v>
      </c>
      <c r="U133">
        <v>88</v>
      </c>
      <c r="W133">
        <v>5</v>
      </c>
      <c r="X133">
        <v>1314559</v>
      </c>
      <c r="Y133" t="s">
        <v>80</v>
      </c>
    </row>
    <row r="134" spans="1:25">
      <c r="A134" s="1" t="s">
        <v>203</v>
      </c>
      <c r="B134" t="s">
        <v>70</v>
      </c>
      <c r="C134" t="s">
        <v>47</v>
      </c>
      <c r="D134" t="s">
        <v>59</v>
      </c>
      <c r="E134" t="s">
        <v>54</v>
      </c>
      <c r="F134" t="s">
        <v>38</v>
      </c>
      <c r="G134" t="s">
        <v>55</v>
      </c>
      <c r="H134" t="s">
        <v>56</v>
      </c>
      <c r="I134" t="s">
        <v>41</v>
      </c>
      <c r="J134" s="2">
        <v>45452</v>
      </c>
      <c r="K134" s="2">
        <v>45454</v>
      </c>
      <c r="L134" s="2">
        <v>45460</v>
      </c>
      <c r="M134" s="2">
        <v>45466</v>
      </c>
      <c r="N134" s="2">
        <v>45491</v>
      </c>
      <c r="O134">
        <v>1</v>
      </c>
      <c r="P134">
        <v>1</v>
      </c>
      <c r="Q134">
        <v>1</v>
      </c>
      <c r="R134">
        <v>0</v>
      </c>
      <c r="S134">
        <v>0</v>
      </c>
      <c r="T134" t="s">
        <v>49</v>
      </c>
      <c r="U134">
        <v>82</v>
      </c>
      <c r="W134">
        <v>11</v>
      </c>
      <c r="X134">
        <v>2829849</v>
      </c>
      <c r="Y134" t="s">
        <v>68</v>
      </c>
    </row>
    <row r="135" spans="1:25">
      <c r="A135" s="1" t="s">
        <v>204</v>
      </c>
      <c r="B135" t="s">
        <v>43</v>
      </c>
      <c r="C135" t="s">
        <v>71</v>
      </c>
      <c r="D135" t="s">
        <v>59</v>
      </c>
      <c r="E135" t="s">
        <v>54</v>
      </c>
      <c r="F135" t="s">
        <v>48</v>
      </c>
      <c r="G135" t="s">
        <v>45</v>
      </c>
      <c r="H135" t="s">
        <v>32</v>
      </c>
      <c r="I135" t="s">
        <v>41</v>
      </c>
      <c r="J135" s="2">
        <v>44937</v>
      </c>
      <c r="K135" s="2">
        <v>44939</v>
      </c>
      <c r="L135" s="2">
        <v>44944</v>
      </c>
      <c r="M135" s="2">
        <v>44948</v>
      </c>
      <c r="N135" s="2">
        <v>44965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74</v>
      </c>
      <c r="U135">
        <v>71</v>
      </c>
      <c r="W135">
        <v>3</v>
      </c>
    </row>
    <row r="136" spans="1:25">
      <c r="A136" s="1" t="s">
        <v>205</v>
      </c>
      <c r="B136" t="s">
        <v>70</v>
      </c>
      <c r="C136" t="s">
        <v>27</v>
      </c>
      <c r="D136" t="s">
        <v>44</v>
      </c>
      <c r="E136" t="s">
        <v>29</v>
      </c>
      <c r="F136" t="s">
        <v>64</v>
      </c>
      <c r="G136" t="s">
        <v>39</v>
      </c>
      <c r="H136" t="s">
        <v>32</v>
      </c>
      <c r="I136" t="s">
        <v>41</v>
      </c>
      <c r="J136" s="2">
        <v>45191</v>
      </c>
      <c r="K136" s="2">
        <v>45194</v>
      </c>
      <c r="L136" s="2">
        <v>45204</v>
      </c>
      <c r="M136" s="2">
        <v>45210</v>
      </c>
      <c r="N136" s="2">
        <v>45228</v>
      </c>
      <c r="O136">
        <v>1</v>
      </c>
      <c r="P136">
        <v>1</v>
      </c>
      <c r="Q136">
        <v>1</v>
      </c>
      <c r="R136">
        <v>0</v>
      </c>
      <c r="S136">
        <v>0</v>
      </c>
      <c r="T136" t="s">
        <v>49</v>
      </c>
      <c r="U136">
        <v>81</v>
      </c>
      <c r="W136">
        <v>1</v>
      </c>
      <c r="X136">
        <v>460820</v>
      </c>
      <c r="Y136" t="s">
        <v>68</v>
      </c>
    </row>
    <row r="137" spans="1:25">
      <c r="A137" s="1" t="s">
        <v>206</v>
      </c>
      <c r="B137" t="s">
        <v>43</v>
      </c>
      <c r="C137" t="s">
        <v>27</v>
      </c>
      <c r="D137" t="s">
        <v>52</v>
      </c>
      <c r="E137" t="s">
        <v>54</v>
      </c>
      <c r="F137" t="s">
        <v>48</v>
      </c>
      <c r="G137" t="s">
        <v>39</v>
      </c>
      <c r="H137" t="s">
        <v>56</v>
      </c>
      <c r="I137" t="s">
        <v>41</v>
      </c>
      <c r="J137" s="2">
        <v>45066</v>
      </c>
      <c r="K137" s="2">
        <v>45068</v>
      </c>
      <c r="L137" s="2">
        <v>45074</v>
      </c>
      <c r="M137" s="2">
        <v>45080</v>
      </c>
      <c r="N137" s="2">
        <v>45087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74</v>
      </c>
      <c r="U137">
        <v>73</v>
      </c>
      <c r="W137">
        <v>0</v>
      </c>
    </row>
    <row r="138" spans="1:25">
      <c r="A138" s="1" t="s">
        <v>207</v>
      </c>
      <c r="B138" t="s">
        <v>70</v>
      </c>
      <c r="C138" t="s">
        <v>27</v>
      </c>
      <c r="D138" t="s">
        <v>73</v>
      </c>
      <c r="E138" t="s">
        <v>66</v>
      </c>
      <c r="F138" t="s">
        <v>67</v>
      </c>
      <c r="G138" t="s">
        <v>39</v>
      </c>
      <c r="H138" t="s">
        <v>32</v>
      </c>
      <c r="I138" t="s">
        <v>41</v>
      </c>
      <c r="J138" s="2">
        <v>45032</v>
      </c>
      <c r="K138" s="2">
        <v>45037</v>
      </c>
      <c r="L138" s="2">
        <v>45044</v>
      </c>
      <c r="M138" s="2">
        <v>45047</v>
      </c>
      <c r="N138" s="2">
        <v>45059</v>
      </c>
      <c r="O138">
        <v>1</v>
      </c>
      <c r="P138">
        <v>1</v>
      </c>
      <c r="Q138">
        <v>1</v>
      </c>
      <c r="R138">
        <v>0</v>
      </c>
      <c r="S138">
        <v>0</v>
      </c>
      <c r="T138" t="s">
        <v>49</v>
      </c>
      <c r="U138">
        <v>92</v>
      </c>
      <c r="W138">
        <v>0</v>
      </c>
      <c r="X138">
        <v>650856</v>
      </c>
      <c r="Y138" t="s">
        <v>50</v>
      </c>
    </row>
    <row r="139" spans="1:25">
      <c r="A139" s="1" t="s">
        <v>208</v>
      </c>
      <c r="B139" t="s">
        <v>26</v>
      </c>
      <c r="C139" t="s">
        <v>47</v>
      </c>
      <c r="D139" t="s">
        <v>73</v>
      </c>
      <c r="E139" t="s">
        <v>29</v>
      </c>
      <c r="F139" t="s">
        <v>38</v>
      </c>
      <c r="G139" t="s">
        <v>39</v>
      </c>
      <c r="H139" t="s">
        <v>32</v>
      </c>
      <c r="I139" t="s">
        <v>41</v>
      </c>
      <c r="J139" s="2">
        <v>45022</v>
      </c>
      <c r="K139" s="2">
        <v>45023</v>
      </c>
      <c r="L139" s="2">
        <v>45028</v>
      </c>
      <c r="M139" s="2">
        <v>45033</v>
      </c>
      <c r="N139" s="2">
        <v>45036</v>
      </c>
      <c r="O139">
        <v>1</v>
      </c>
      <c r="P139">
        <v>1</v>
      </c>
      <c r="Q139">
        <v>1</v>
      </c>
      <c r="R139">
        <v>1</v>
      </c>
      <c r="S139">
        <v>0</v>
      </c>
      <c r="T139" t="s">
        <v>61</v>
      </c>
      <c r="U139">
        <v>65</v>
      </c>
      <c r="V139">
        <v>14</v>
      </c>
      <c r="W139">
        <v>11</v>
      </c>
      <c r="X139">
        <v>2852202</v>
      </c>
    </row>
    <row r="140" spans="1:25">
      <c r="A140" s="1" t="s">
        <v>209</v>
      </c>
      <c r="B140" t="s">
        <v>70</v>
      </c>
      <c r="C140" t="s">
        <v>71</v>
      </c>
      <c r="D140" t="s">
        <v>59</v>
      </c>
      <c r="E140" t="s">
        <v>66</v>
      </c>
      <c r="F140" t="s">
        <v>48</v>
      </c>
      <c r="G140" t="s">
        <v>60</v>
      </c>
      <c r="H140" t="s">
        <v>32</v>
      </c>
      <c r="I140" t="s">
        <v>41</v>
      </c>
      <c r="J140" s="2">
        <v>45209</v>
      </c>
      <c r="K140" s="2">
        <v>45210</v>
      </c>
      <c r="L140" s="2">
        <v>45218</v>
      </c>
      <c r="M140" s="2">
        <v>45222</v>
      </c>
      <c r="N140" s="2">
        <v>45246</v>
      </c>
      <c r="O140">
        <v>1</v>
      </c>
      <c r="P140">
        <v>1</v>
      </c>
      <c r="Q140">
        <v>1</v>
      </c>
      <c r="R140">
        <v>1</v>
      </c>
      <c r="S140">
        <v>0</v>
      </c>
      <c r="T140" t="s">
        <v>61</v>
      </c>
      <c r="U140">
        <v>69</v>
      </c>
      <c r="V140">
        <v>37</v>
      </c>
      <c r="W140">
        <v>3</v>
      </c>
      <c r="X140">
        <v>1389442</v>
      </c>
    </row>
    <row r="141" spans="1:25">
      <c r="A141" s="1" t="s">
        <v>210</v>
      </c>
      <c r="B141" t="s">
        <v>43</v>
      </c>
      <c r="C141" t="s">
        <v>71</v>
      </c>
      <c r="D141" t="s">
        <v>44</v>
      </c>
      <c r="E141" t="s">
        <v>66</v>
      </c>
      <c r="F141" t="s">
        <v>76</v>
      </c>
      <c r="G141" t="s">
        <v>39</v>
      </c>
      <c r="H141" t="s">
        <v>56</v>
      </c>
      <c r="I141" t="s">
        <v>41</v>
      </c>
      <c r="J141" s="2">
        <v>45417</v>
      </c>
      <c r="K141" s="2">
        <v>45421</v>
      </c>
      <c r="L141" s="2">
        <v>45425</v>
      </c>
      <c r="M141" s="2">
        <v>45429</v>
      </c>
      <c r="N141" s="2">
        <v>45444</v>
      </c>
      <c r="O141">
        <v>1</v>
      </c>
      <c r="P141">
        <v>1</v>
      </c>
      <c r="Q141">
        <v>1</v>
      </c>
      <c r="R141">
        <v>0</v>
      </c>
      <c r="S141">
        <v>1</v>
      </c>
      <c r="T141" t="s">
        <v>49</v>
      </c>
      <c r="U141">
        <v>99</v>
      </c>
      <c r="W141">
        <v>7</v>
      </c>
      <c r="X141">
        <v>1040909</v>
      </c>
      <c r="Y141" t="s">
        <v>50</v>
      </c>
    </row>
    <row r="142" spans="1:25">
      <c r="A142" s="1" t="s">
        <v>211</v>
      </c>
      <c r="B142" t="s">
        <v>36</v>
      </c>
      <c r="C142" t="s">
        <v>78</v>
      </c>
      <c r="D142" t="s">
        <v>73</v>
      </c>
      <c r="E142" t="s">
        <v>54</v>
      </c>
      <c r="F142" t="s">
        <v>38</v>
      </c>
      <c r="G142" t="s">
        <v>31</v>
      </c>
      <c r="H142" t="s">
        <v>40</v>
      </c>
      <c r="I142" t="s">
        <v>41</v>
      </c>
      <c r="J142" s="2">
        <v>45159</v>
      </c>
      <c r="K142" s="2">
        <v>45162</v>
      </c>
      <c r="L142" s="2">
        <v>45166</v>
      </c>
      <c r="M142" s="2">
        <v>45171</v>
      </c>
      <c r="N142" s="2">
        <v>45174</v>
      </c>
      <c r="O142">
        <v>1</v>
      </c>
      <c r="P142">
        <v>0</v>
      </c>
      <c r="Q142">
        <v>0</v>
      </c>
      <c r="R142">
        <v>0</v>
      </c>
      <c r="S142">
        <v>0</v>
      </c>
      <c r="T142" t="s">
        <v>34</v>
      </c>
      <c r="U142">
        <v>74</v>
      </c>
      <c r="W142">
        <v>10</v>
      </c>
    </row>
    <row r="143" spans="1:25">
      <c r="A143" s="1" t="s">
        <v>212</v>
      </c>
      <c r="B143" t="s">
        <v>70</v>
      </c>
      <c r="C143" t="s">
        <v>71</v>
      </c>
      <c r="D143" t="s">
        <v>59</v>
      </c>
      <c r="E143" t="s">
        <v>63</v>
      </c>
      <c r="F143" t="s">
        <v>76</v>
      </c>
      <c r="G143" t="s">
        <v>60</v>
      </c>
      <c r="H143" t="s">
        <v>32</v>
      </c>
      <c r="I143" t="s">
        <v>41</v>
      </c>
      <c r="J143" s="2">
        <v>45410</v>
      </c>
      <c r="K143" s="2">
        <v>45414</v>
      </c>
      <c r="L143" s="2">
        <v>45418</v>
      </c>
      <c r="M143" s="2">
        <v>45424</v>
      </c>
      <c r="N143" s="2">
        <v>45448</v>
      </c>
      <c r="O143">
        <v>1</v>
      </c>
      <c r="P143">
        <v>0</v>
      </c>
      <c r="Q143">
        <v>0</v>
      </c>
      <c r="R143">
        <v>0</v>
      </c>
      <c r="S143">
        <v>0</v>
      </c>
      <c r="T143" t="s">
        <v>34</v>
      </c>
      <c r="U143">
        <v>74</v>
      </c>
      <c r="W143">
        <v>6</v>
      </c>
    </row>
    <row r="144" spans="1:25">
      <c r="A144" s="1" t="s">
        <v>213</v>
      </c>
      <c r="B144" t="s">
        <v>70</v>
      </c>
      <c r="C144" t="s">
        <v>27</v>
      </c>
      <c r="D144" t="s">
        <v>28</v>
      </c>
      <c r="E144" t="s">
        <v>29</v>
      </c>
      <c r="F144" t="s">
        <v>30</v>
      </c>
      <c r="G144" t="s">
        <v>55</v>
      </c>
      <c r="H144" t="s">
        <v>32</v>
      </c>
      <c r="I144" t="s">
        <v>41</v>
      </c>
      <c r="J144" s="2">
        <v>45072</v>
      </c>
      <c r="K144" s="2">
        <v>45073</v>
      </c>
      <c r="L144" s="2">
        <v>45076</v>
      </c>
      <c r="M144" s="2">
        <v>45083</v>
      </c>
      <c r="N144" s="2">
        <v>45095</v>
      </c>
      <c r="O144">
        <v>1</v>
      </c>
      <c r="P144">
        <v>1</v>
      </c>
      <c r="Q144">
        <v>1</v>
      </c>
      <c r="R144">
        <v>1</v>
      </c>
      <c r="S144">
        <v>0</v>
      </c>
      <c r="T144" t="s">
        <v>61</v>
      </c>
      <c r="U144">
        <v>87</v>
      </c>
      <c r="V144">
        <v>23</v>
      </c>
      <c r="W144">
        <v>0</v>
      </c>
      <c r="X144">
        <v>419906</v>
      </c>
    </row>
    <row r="145" spans="1:25">
      <c r="A145" s="1" t="s">
        <v>214</v>
      </c>
      <c r="B145" t="s">
        <v>70</v>
      </c>
      <c r="C145" t="s">
        <v>78</v>
      </c>
      <c r="D145" t="s">
        <v>28</v>
      </c>
      <c r="E145" t="s">
        <v>54</v>
      </c>
      <c r="F145" t="s">
        <v>38</v>
      </c>
      <c r="G145" t="s">
        <v>60</v>
      </c>
      <c r="H145" t="s">
        <v>40</v>
      </c>
      <c r="I145" t="s">
        <v>33</v>
      </c>
      <c r="J145" s="2">
        <v>45102</v>
      </c>
      <c r="K145" s="2">
        <v>45103</v>
      </c>
      <c r="L145" s="2">
        <v>45107</v>
      </c>
      <c r="M145" s="2">
        <v>45114</v>
      </c>
      <c r="N145" s="2">
        <v>45123</v>
      </c>
      <c r="O145">
        <v>1</v>
      </c>
      <c r="P145">
        <v>1</v>
      </c>
      <c r="Q145">
        <v>1</v>
      </c>
      <c r="R145">
        <v>0</v>
      </c>
      <c r="S145">
        <v>0</v>
      </c>
      <c r="T145" t="s">
        <v>49</v>
      </c>
      <c r="U145">
        <v>48</v>
      </c>
      <c r="W145">
        <v>7</v>
      </c>
      <c r="X145">
        <v>1978828</v>
      </c>
      <c r="Y145" t="s">
        <v>127</v>
      </c>
    </row>
    <row r="146" spans="1:25">
      <c r="A146" s="1" t="s">
        <v>215</v>
      </c>
      <c r="B146" t="s">
        <v>43</v>
      </c>
      <c r="C146" t="s">
        <v>37</v>
      </c>
      <c r="D146" t="s">
        <v>52</v>
      </c>
      <c r="E146" t="s">
        <v>63</v>
      </c>
      <c r="F146" t="s">
        <v>38</v>
      </c>
      <c r="G146" t="s">
        <v>45</v>
      </c>
      <c r="H146" t="s">
        <v>56</v>
      </c>
      <c r="I146" t="s">
        <v>41</v>
      </c>
      <c r="J146" s="2">
        <v>45033</v>
      </c>
      <c r="K146" s="2">
        <v>45035</v>
      </c>
      <c r="L146" s="2">
        <v>45043</v>
      </c>
      <c r="M146" s="2">
        <v>45046</v>
      </c>
      <c r="N146" s="2">
        <v>45058</v>
      </c>
      <c r="O146">
        <v>1</v>
      </c>
      <c r="P146">
        <v>1</v>
      </c>
      <c r="Q146">
        <v>1</v>
      </c>
      <c r="R146">
        <v>0</v>
      </c>
      <c r="S146">
        <v>0</v>
      </c>
      <c r="T146" t="s">
        <v>49</v>
      </c>
      <c r="U146">
        <v>60</v>
      </c>
      <c r="W146">
        <v>2</v>
      </c>
      <c r="X146">
        <v>538157</v>
      </c>
      <c r="Y146" t="s">
        <v>127</v>
      </c>
    </row>
    <row r="147" spans="1:25">
      <c r="A147" s="1" t="s">
        <v>216</v>
      </c>
      <c r="B147" t="s">
        <v>43</v>
      </c>
      <c r="C147" t="s">
        <v>78</v>
      </c>
      <c r="D147" t="s">
        <v>44</v>
      </c>
      <c r="E147" t="s">
        <v>54</v>
      </c>
      <c r="F147" t="s">
        <v>64</v>
      </c>
      <c r="G147" t="s">
        <v>31</v>
      </c>
      <c r="H147" t="s">
        <v>56</v>
      </c>
      <c r="I147" t="s">
        <v>41</v>
      </c>
      <c r="J147" s="2">
        <v>45418</v>
      </c>
      <c r="K147" s="2">
        <v>45422</v>
      </c>
      <c r="L147" s="2">
        <v>45429</v>
      </c>
      <c r="M147" s="2">
        <v>45434</v>
      </c>
      <c r="N147" s="2">
        <v>45437</v>
      </c>
      <c r="O147">
        <v>1</v>
      </c>
      <c r="P147">
        <v>0</v>
      </c>
      <c r="Q147">
        <v>0</v>
      </c>
      <c r="R147">
        <v>0</v>
      </c>
      <c r="S147">
        <v>0</v>
      </c>
      <c r="T147" t="s">
        <v>34</v>
      </c>
      <c r="U147">
        <v>84</v>
      </c>
      <c r="W147">
        <v>10</v>
      </c>
    </row>
    <row r="148" spans="1:25">
      <c r="A148" s="1" t="s">
        <v>217</v>
      </c>
      <c r="B148" t="s">
        <v>70</v>
      </c>
      <c r="C148" t="s">
        <v>78</v>
      </c>
      <c r="D148" t="s">
        <v>59</v>
      </c>
      <c r="E148" t="s">
        <v>66</v>
      </c>
      <c r="F148" t="s">
        <v>48</v>
      </c>
      <c r="G148" t="s">
        <v>39</v>
      </c>
      <c r="H148" t="s">
        <v>32</v>
      </c>
      <c r="I148" t="s">
        <v>41</v>
      </c>
      <c r="J148" s="2">
        <v>45322</v>
      </c>
      <c r="K148" s="2">
        <v>45326</v>
      </c>
      <c r="L148" s="2">
        <v>45335</v>
      </c>
      <c r="M148" s="2">
        <v>45341</v>
      </c>
      <c r="N148" s="2">
        <v>45348</v>
      </c>
      <c r="O148">
        <v>1</v>
      </c>
      <c r="P148">
        <v>0</v>
      </c>
      <c r="Q148">
        <v>0</v>
      </c>
      <c r="R148">
        <v>0</v>
      </c>
      <c r="S148">
        <v>0</v>
      </c>
      <c r="T148" t="s">
        <v>34</v>
      </c>
      <c r="U148">
        <v>48</v>
      </c>
      <c r="W148">
        <v>10</v>
      </c>
    </row>
    <row r="149" spans="1:25">
      <c r="A149" s="1" t="s">
        <v>218</v>
      </c>
      <c r="B149" t="s">
        <v>26</v>
      </c>
      <c r="C149" t="s">
        <v>71</v>
      </c>
      <c r="D149" t="s">
        <v>44</v>
      </c>
      <c r="E149" t="s">
        <v>54</v>
      </c>
      <c r="F149" t="s">
        <v>30</v>
      </c>
      <c r="G149" t="s">
        <v>55</v>
      </c>
      <c r="H149" t="s">
        <v>56</v>
      </c>
      <c r="I149" t="s">
        <v>41</v>
      </c>
      <c r="J149" s="2">
        <v>45174</v>
      </c>
      <c r="K149" s="2">
        <v>45176</v>
      </c>
      <c r="L149" s="2">
        <v>45184</v>
      </c>
      <c r="M149" s="2">
        <v>45188</v>
      </c>
      <c r="N149" s="2">
        <v>45193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74</v>
      </c>
      <c r="U149">
        <v>47</v>
      </c>
      <c r="W149">
        <v>5</v>
      </c>
    </row>
    <row r="150" spans="1:25">
      <c r="A150" s="1" t="s">
        <v>219</v>
      </c>
      <c r="B150" t="s">
        <v>43</v>
      </c>
      <c r="C150" t="s">
        <v>78</v>
      </c>
      <c r="D150" t="s">
        <v>28</v>
      </c>
      <c r="E150" t="s">
        <v>54</v>
      </c>
      <c r="F150" t="s">
        <v>64</v>
      </c>
      <c r="G150" t="s">
        <v>55</v>
      </c>
      <c r="H150" t="s">
        <v>32</v>
      </c>
      <c r="I150" t="s">
        <v>41</v>
      </c>
      <c r="J150" s="2">
        <v>45430</v>
      </c>
      <c r="K150" s="2">
        <v>45433</v>
      </c>
      <c r="L150" s="2">
        <v>45439</v>
      </c>
      <c r="M150" s="2">
        <v>45445</v>
      </c>
      <c r="N150" s="2">
        <v>45455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74</v>
      </c>
      <c r="U150">
        <v>62</v>
      </c>
      <c r="W150">
        <v>6</v>
      </c>
    </row>
    <row r="151" spans="1:25">
      <c r="A151" s="1" t="s">
        <v>220</v>
      </c>
      <c r="B151" t="s">
        <v>58</v>
      </c>
      <c r="C151" t="s">
        <v>37</v>
      </c>
      <c r="D151" t="s">
        <v>73</v>
      </c>
      <c r="E151" t="s">
        <v>66</v>
      </c>
      <c r="F151" t="s">
        <v>67</v>
      </c>
      <c r="G151" t="s">
        <v>45</v>
      </c>
      <c r="H151" t="s">
        <v>32</v>
      </c>
      <c r="I151" t="s">
        <v>33</v>
      </c>
      <c r="J151" s="2">
        <v>45406</v>
      </c>
      <c r="K151" s="2">
        <v>45407</v>
      </c>
      <c r="L151" s="2">
        <v>45410</v>
      </c>
      <c r="M151" s="2">
        <v>45412</v>
      </c>
      <c r="N151" s="2">
        <v>45424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74</v>
      </c>
      <c r="U151">
        <v>48</v>
      </c>
      <c r="W151">
        <v>4</v>
      </c>
    </row>
    <row r="152" spans="1:25">
      <c r="A152" s="1" t="s">
        <v>221</v>
      </c>
      <c r="B152" t="s">
        <v>43</v>
      </c>
      <c r="C152" t="s">
        <v>78</v>
      </c>
      <c r="D152" t="s">
        <v>44</v>
      </c>
      <c r="E152" t="s">
        <v>29</v>
      </c>
      <c r="F152" t="s">
        <v>64</v>
      </c>
      <c r="G152" t="s">
        <v>60</v>
      </c>
      <c r="H152" t="s">
        <v>56</v>
      </c>
      <c r="I152" t="s">
        <v>33</v>
      </c>
      <c r="J152" s="2">
        <v>45185</v>
      </c>
      <c r="K152" s="2">
        <v>45186</v>
      </c>
      <c r="L152" s="2">
        <v>45189</v>
      </c>
      <c r="M152" s="2">
        <v>45194</v>
      </c>
      <c r="N152" s="2">
        <v>45205</v>
      </c>
      <c r="O152">
        <v>1</v>
      </c>
      <c r="P152">
        <v>1</v>
      </c>
      <c r="Q152">
        <v>1</v>
      </c>
      <c r="R152">
        <v>0</v>
      </c>
      <c r="S152">
        <v>0</v>
      </c>
      <c r="T152" t="s">
        <v>49</v>
      </c>
      <c r="U152">
        <v>98</v>
      </c>
      <c r="W152">
        <v>8</v>
      </c>
      <c r="X152">
        <v>2069442</v>
      </c>
      <c r="Y152" t="s">
        <v>87</v>
      </c>
    </row>
    <row r="153" spans="1:25">
      <c r="A153" s="1" t="s">
        <v>222</v>
      </c>
      <c r="B153" t="s">
        <v>58</v>
      </c>
      <c r="C153" t="s">
        <v>27</v>
      </c>
      <c r="D153" t="s">
        <v>59</v>
      </c>
      <c r="E153" t="s">
        <v>63</v>
      </c>
      <c r="F153" t="s">
        <v>38</v>
      </c>
      <c r="G153" t="s">
        <v>45</v>
      </c>
      <c r="H153" t="s">
        <v>56</v>
      </c>
      <c r="I153" t="s">
        <v>41</v>
      </c>
      <c r="J153" s="2">
        <v>45001</v>
      </c>
      <c r="K153" s="2">
        <v>45004</v>
      </c>
      <c r="L153" s="2">
        <v>45014</v>
      </c>
      <c r="M153" s="2">
        <v>45017</v>
      </c>
      <c r="N153" s="2">
        <v>45017</v>
      </c>
      <c r="O153">
        <v>1</v>
      </c>
      <c r="P153">
        <v>0</v>
      </c>
      <c r="Q153">
        <v>0</v>
      </c>
      <c r="R153">
        <v>0</v>
      </c>
      <c r="S153">
        <v>1</v>
      </c>
      <c r="T153" t="s">
        <v>34</v>
      </c>
      <c r="U153">
        <v>51</v>
      </c>
      <c r="W153">
        <v>2</v>
      </c>
    </row>
    <row r="154" spans="1:25">
      <c r="A154" s="1" t="s">
        <v>223</v>
      </c>
      <c r="B154" t="s">
        <v>70</v>
      </c>
      <c r="C154" t="s">
        <v>71</v>
      </c>
      <c r="D154" t="s">
        <v>73</v>
      </c>
      <c r="E154" t="s">
        <v>29</v>
      </c>
      <c r="F154" t="s">
        <v>67</v>
      </c>
      <c r="G154" t="s">
        <v>45</v>
      </c>
      <c r="H154" t="s">
        <v>32</v>
      </c>
      <c r="I154" t="s">
        <v>41</v>
      </c>
      <c r="J154" s="2">
        <v>45171</v>
      </c>
      <c r="K154" s="2">
        <v>45176</v>
      </c>
      <c r="L154" s="2">
        <v>45183</v>
      </c>
      <c r="M154" s="2">
        <v>45187</v>
      </c>
      <c r="N154" s="2">
        <v>45202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74</v>
      </c>
      <c r="U154">
        <v>69</v>
      </c>
      <c r="W154">
        <v>3</v>
      </c>
    </row>
    <row r="155" spans="1:25">
      <c r="A155" s="1" t="s">
        <v>224</v>
      </c>
      <c r="B155" t="s">
        <v>36</v>
      </c>
      <c r="C155" t="s">
        <v>37</v>
      </c>
      <c r="D155" t="s">
        <v>52</v>
      </c>
      <c r="E155" t="s">
        <v>66</v>
      </c>
      <c r="F155" t="s">
        <v>38</v>
      </c>
      <c r="G155" t="s">
        <v>55</v>
      </c>
      <c r="H155" t="s">
        <v>40</v>
      </c>
      <c r="I155" t="s">
        <v>41</v>
      </c>
      <c r="J155" s="2">
        <v>45361</v>
      </c>
      <c r="K155" s="2">
        <v>45362</v>
      </c>
      <c r="L155" s="2">
        <v>45365</v>
      </c>
      <c r="M155" s="2">
        <v>45368</v>
      </c>
      <c r="N155" s="2">
        <v>45383</v>
      </c>
      <c r="O155">
        <v>1</v>
      </c>
      <c r="P155">
        <v>1</v>
      </c>
      <c r="Q155">
        <v>1</v>
      </c>
      <c r="R155">
        <v>0</v>
      </c>
      <c r="S155">
        <v>0</v>
      </c>
      <c r="T155" t="s">
        <v>49</v>
      </c>
      <c r="U155">
        <v>45</v>
      </c>
      <c r="W155">
        <v>1</v>
      </c>
      <c r="X155">
        <v>760793</v>
      </c>
      <c r="Y155" t="s">
        <v>50</v>
      </c>
    </row>
    <row r="156" spans="1:25">
      <c r="A156" s="1" t="s">
        <v>225</v>
      </c>
      <c r="B156" t="s">
        <v>70</v>
      </c>
      <c r="C156" t="s">
        <v>47</v>
      </c>
      <c r="D156" t="s">
        <v>52</v>
      </c>
      <c r="E156" t="s">
        <v>54</v>
      </c>
      <c r="F156" t="s">
        <v>67</v>
      </c>
      <c r="G156" t="s">
        <v>60</v>
      </c>
      <c r="H156" t="s">
        <v>32</v>
      </c>
      <c r="I156" t="s">
        <v>33</v>
      </c>
      <c r="J156" s="2">
        <v>45244</v>
      </c>
      <c r="K156" s="2">
        <v>45248</v>
      </c>
      <c r="L156" s="2">
        <v>45253</v>
      </c>
      <c r="M156" s="2">
        <v>45256</v>
      </c>
      <c r="N156" s="2">
        <v>45267</v>
      </c>
      <c r="O156">
        <v>1</v>
      </c>
      <c r="P156">
        <v>1</v>
      </c>
      <c r="Q156">
        <v>1</v>
      </c>
      <c r="R156">
        <v>0</v>
      </c>
      <c r="S156">
        <v>0</v>
      </c>
      <c r="T156" t="s">
        <v>49</v>
      </c>
      <c r="U156">
        <v>88</v>
      </c>
      <c r="W156">
        <v>12</v>
      </c>
      <c r="X156">
        <v>2036947</v>
      </c>
      <c r="Y156" t="s">
        <v>80</v>
      </c>
    </row>
    <row r="157" spans="1:25">
      <c r="A157" s="1" t="s">
        <v>226</v>
      </c>
      <c r="B157" t="s">
        <v>26</v>
      </c>
      <c r="C157" t="s">
        <v>27</v>
      </c>
      <c r="D157" t="s">
        <v>28</v>
      </c>
      <c r="E157" t="s">
        <v>54</v>
      </c>
      <c r="F157" t="s">
        <v>30</v>
      </c>
      <c r="G157" t="s">
        <v>55</v>
      </c>
      <c r="H157" t="s">
        <v>32</v>
      </c>
      <c r="I157" t="s">
        <v>41</v>
      </c>
      <c r="J157" s="2">
        <v>45125</v>
      </c>
      <c r="K157" s="2">
        <v>45130</v>
      </c>
      <c r="L157" s="2">
        <v>45135</v>
      </c>
      <c r="M157" s="2">
        <v>45140</v>
      </c>
      <c r="N157" s="2">
        <v>45148</v>
      </c>
      <c r="O157">
        <v>1</v>
      </c>
      <c r="P157">
        <v>1</v>
      </c>
      <c r="Q157">
        <v>1</v>
      </c>
      <c r="R157">
        <v>1</v>
      </c>
      <c r="S157">
        <v>0</v>
      </c>
      <c r="T157" t="s">
        <v>61</v>
      </c>
      <c r="U157">
        <v>97</v>
      </c>
      <c r="V157">
        <v>23</v>
      </c>
      <c r="W157">
        <v>0</v>
      </c>
      <c r="X157">
        <v>586104</v>
      </c>
    </row>
    <row r="158" spans="1:25">
      <c r="A158" s="1" t="s">
        <v>227</v>
      </c>
      <c r="B158" t="s">
        <v>43</v>
      </c>
      <c r="C158" t="s">
        <v>78</v>
      </c>
      <c r="D158" t="s">
        <v>44</v>
      </c>
      <c r="E158" t="s">
        <v>63</v>
      </c>
      <c r="F158" t="s">
        <v>67</v>
      </c>
      <c r="G158" t="s">
        <v>45</v>
      </c>
      <c r="H158" t="s">
        <v>40</v>
      </c>
      <c r="I158" t="s">
        <v>41</v>
      </c>
      <c r="J158" s="2">
        <v>45198</v>
      </c>
      <c r="K158" s="2">
        <v>45203</v>
      </c>
      <c r="L158" s="2">
        <v>45211</v>
      </c>
      <c r="M158" s="2">
        <v>45216</v>
      </c>
      <c r="N158" s="2">
        <v>45224</v>
      </c>
      <c r="O158">
        <v>1</v>
      </c>
      <c r="P158">
        <v>1</v>
      </c>
      <c r="Q158">
        <v>1</v>
      </c>
      <c r="R158">
        <v>1</v>
      </c>
      <c r="S158">
        <v>0</v>
      </c>
      <c r="T158" t="s">
        <v>61</v>
      </c>
      <c r="U158">
        <v>78</v>
      </c>
      <c r="V158">
        <v>26</v>
      </c>
      <c r="W158">
        <v>10</v>
      </c>
      <c r="X158">
        <v>1555063</v>
      </c>
    </row>
    <row r="159" spans="1:25">
      <c r="A159" s="1" t="s">
        <v>228</v>
      </c>
      <c r="B159" t="s">
        <v>58</v>
      </c>
      <c r="C159" t="s">
        <v>37</v>
      </c>
      <c r="D159" t="s">
        <v>59</v>
      </c>
      <c r="E159" t="s">
        <v>54</v>
      </c>
      <c r="F159" t="s">
        <v>38</v>
      </c>
      <c r="G159" t="s">
        <v>55</v>
      </c>
      <c r="H159" t="s">
        <v>56</v>
      </c>
      <c r="I159" t="s">
        <v>33</v>
      </c>
      <c r="J159" s="2">
        <v>45057</v>
      </c>
      <c r="K159" s="2">
        <v>45060</v>
      </c>
      <c r="L159" s="2">
        <v>45064</v>
      </c>
      <c r="M159" s="2">
        <v>45071</v>
      </c>
      <c r="N159" s="2">
        <v>45079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74</v>
      </c>
      <c r="U159">
        <v>59</v>
      </c>
      <c r="W159">
        <v>3</v>
      </c>
    </row>
    <row r="160" spans="1:25">
      <c r="A160" s="1" t="s">
        <v>229</v>
      </c>
      <c r="B160" t="s">
        <v>43</v>
      </c>
      <c r="C160" t="s">
        <v>47</v>
      </c>
      <c r="D160" t="s">
        <v>28</v>
      </c>
      <c r="E160" t="s">
        <v>54</v>
      </c>
      <c r="F160" t="s">
        <v>48</v>
      </c>
      <c r="G160" t="s">
        <v>45</v>
      </c>
      <c r="H160" t="s">
        <v>32</v>
      </c>
      <c r="I160" t="s">
        <v>41</v>
      </c>
      <c r="J160" s="2">
        <v>44978</v>
      </c>
      <c r="K160" s="2">
        <v>44981</v>
      </c>
      <c r="L160" s="2">
        <v>44988</v>
      </c>
      <c r="M160" s="2">
        <v>44991</v>
      </c>
      <c r="N160" s="2">
        <v>44997</v>
      </c>
      <c r="O160">
        <v>1</v>
      </c>
      <c r="P160">
        <v>1</v>
      </c>
      <c r="Q160">
        <v>1</v>
      </c>
      <c r="R160">
        <v>0</v>
      </c>
      <c r="S160">
        <v>0</v>
      </c>
      <c r="T160" t="s">
        <v>49</v>
      </c>
      <c r="U160">
        <v>88</v>
      </c>
      <c r="W160">
        <v>13</v>
      </c>
      <c r="X160">
        <v>3146668</v>
      </c>
      <c r="Y160" t="s">
        <v>127</v>
      </c>
    </row>
    <row r="161" spans="1:25">
      <c r="A161" s="1" t="s">
        <v>230</v>
      </c>
      <c r="B161" t="s">
        <v>43</v>
      </c>
      <c r="C161" t="s">
        <v>27</v>
      </c>
      <c r="D161" t="s">
        <v>52</v>
      </c>
      <c r="E161" t="s">
        <v>29</v>
      </c>
      <c r="F161" t="s">
        <v>76</v>
      </c>
      <c r="G161" t="s">
        <v>55</v>
      </c>
      <c r="H161" t="s">
        <v>40</v>
      </c>
      <c r="I161" t="s">
        <v>41</v>
      </c>
      <c r="J161" s="2">
        <v>45070</v>
      </c>
      <c r="K161" s="2">
        <v>45071</v>
      </c>
      <c r="L161" s="2">
        <v>45075</v>
      </c>
      <c r="M161" s="2">
        <v>45080</v>
      </c>
      <c r="N161" s="2">
        <v>45097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74</v>
      </c>
      <c r="U161">
        <v>82</v>
      </c>
      <c r="W161">
        <v>0</v>
      </c>
    </row>
    <row r="162" spans="1:25">
      <c r="A162" s="1" t="s">
        <v>231</v>
      </c>
      <c r="B162" t="s">
        <v>43</v>
      </c>
      <c r="C162" t="s">
        <v>27</v>
      </c>
      <c r="D162" t="s">
        <v>52</v>
      </c>
      <c r="E162" t="s">
        <v>29</v>
      </c>
      <c r="F162" t="s">
        <v>48</v>
      </c>
      <c r="G162" t="s">
        <v>55</v>
      </c>
      <c r="H162" t="s">
        <v>32</v>
      </c>
      <c r="I162" t="s">
        <v>41</v>
      </c>
      <c r="J162" s="2">
        <v>45075</v>
      </c>
      <c r="K162" s="2">
        <v>45078</v>
      </c>
      <c r="L162" s="2">
        <v>45086</v>
      </c>
      <c r="M162" s="2">
        <v>45088</v>
      </c>
      <c r="N162" s="2">
        <v>45098</v>
      </c>
      <c r="O162">
        <v>1</v>
      </c>
      <c r="P162">
        <v>0</v>
      </c>
      <c r="Q162">
        <v>0</v>
      </c>
      <c r="R162">
        <v>0</v>
      </c>
      <c r="S162">
        <v>0</v>
      </c>
      <c r="T162" t="s">
        <v>34</v>
      </c>
      <c r="U162">
        <v>48</v>
      </c>
      <c r="W162">
        <v>1</v>
      </c>
    </row>
    <row r="163" spans="1:25">
      <c r="A163" s="1" t="s">
        <v>232</v>
      </c>
      <c r="B163" t="s">
        <v>70</v>
      </c>
      <c r="C163" t="s">
        <v>37</v>
      </c>
      <c r="D163" t="s">
        <v>44</v>
      </c>
      <c r="E163" t="s">
        <v>63</v>
      </c>
      <c r="F163" t="s">
        <v>76</v>
      </c>
      <c r="G163" t="s">
        <v>55</v>
      </c>
      <c r="H163" t="s">
        <v>32</v>
      </c>
      <c r="I163" t="s">
        <v>41</v>
      </c>
      <c r="J163" s="2">
        <v>45195</v>
      </c>
      <c r="K163" s="2">
        <v>45198</v>
      </c>
      <c r="L163" s="2">
        <v>45204</v>
      </c>
      <c r="M163" s="2">
        <v>45206</v>
      </c>
      <c r="N163" s="2">
        <v>45222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74</v>
      </c>
      <c r="U163">
        <v>62</v>
      </c>
      <c r="W163">
        <v>1</v>
      </c>
    </row>
    <row r="164" spans="1:25">
      <c r="A164" s="1" t="s">
        <v>233</v>
      </c>
      <c r="B164" t="s">
        <v>58</v>
      </c>
      <c r="C164" t="s">
        <v>47</v>
      </c>
      <c r="D164" t="s">
        <v>73</v>
      </c>
      <c r="E164" t="s">
        <v>102</v>
      </c>
      <c r="F164" t="s">
        <v>76</v>
      </c>
      <c r="G164" t="s">
        <v>45</v>
      </c>
      <c r="H164" t="s">
        <v>32</v>
      </c>
      <c r="I164" t="s">
        <v>41</v>
      </c>
      <c r="J164" s="2">
        <v>45208</v>
      </c>
      <c r="K164" s="2">
        <v>45211</v>
      </c>
      <c r="L164" s="2">
        <v>45220</v>
      </c>
      <c r="M164" s="2">
        <v>45227</v>
      </c>
      <c r="N164" s="2">
        <v>45227</v>
      </c>
      <c r="O164">
        <v>1</v>
      </c>
      <c r="P164">
        <v>1</v>
      </c>
      <c r="Q164">
        <v>0</v>
      </c>
      <c r="R164">
        <v>0</v>
      </c>
      <c r="S164">
        <v>0</v>
      </c>
      <c r="T164" t="s">
        <v>34</v>
      </c>
      <c r="U164">
        <v>62</v>
      </c>
      <c r="W164">
        <v>8</v>
      </c>
    </row>
    <row r="165" spans="1:25">
      <c r="A165" s="1" t="s">
        <v>234</v>
      </c>
      <c r="B165" t="s">
        <v>70</v>
      </c>
      <c r="C165" t="s">
        <v>37</v>
      </c>
      <c r="D165" t="s">
        <v>59</v>
      </c>
      <c r="E165" t="s">
        <v>66</v>
      </c>
      <c r="F165" t="s">
        <v>67</v>
      </c>
      <c r="G165" t="s">
        <v>39</v>
      </c>
      <c r="H165" t="s">
        <v>56</v>
      </c>
      <c r="I165" t="s">
        <v>41</v>
      </c>
      <c r="J165" s="2">
        <v>45276</v>
      </c>
      <c r="K165" s="2">
        <v>45278</v>
      </c>
      <c r="L165" s="2">
        <v>45286</v>
      </c>
      <c r="M165" s="2">
        <v>45291</v>
      </c>
      <c r="N165" s="2">
        <v>45300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74</v>
      </c>
      <c r="U165">
        <v>63</v>
      </c>
      <c r="W165">
        <v>2</v>
      </c>
    </row>
    <row r="166" spans="1:25">
      <c r="A166" s="1" t="s">
        <v>235</v>
      </c>
      <c r="B166" t="s">
        <v>26</v>
      </c>
      <c r="C166" t="s">
        <v>47</v>
      </c>
      <c r="D166" t="s">
        <v>44</v>
      </c>
      <c r="E166" t="s">
        <v>63</v>
      </c>
      <c r="F166" t="s">
        <v>76</v>
      </c>
      <c r="G166" t="s">
        <v>60</v>
      </c>
      <c r="H166" t="s">
        <v>40</v>
      </c>
      <c r="I166" t="s">
        <v>33</v>
      </c>
      <c r="J166" s="2">
        <v>45276</v>
      </c>
      <c r="K166" s="2">
        <v>45281</v>
      </c>
      <c r="L166" s="2">
        <v>45285</v>
      </c>
      <c r="M166" s="2">
        <v>45289</v>
      </c>
      <c r="N166" s="2">
        <v>45290</v>
      </c>
      <c r="O166">
        <v>1</v>
      </c>
      <c r="P166">
        <v>1</v>
      </c>
      <c r="Q166">
        <v>1</v>
      </c>
      <c r="R166">
        <v>0</v>
      </c>
      <c r="S166">
        <v>1</v>
      </c>
      <c r="T166" t="s">
        <v>49</v>
      </c>
      <c r="U166">
        <v>84</v>
      </c>
      <c r="W166">
        <v>9</v>
      </c>
      <c r="X166">
        <v>2997342</v>
      </c>
      <c r="Y166" t="s">
        <v>127</v>
      </c>
    </row>
    <row r="167" spans="1:25">
      <c r="A167" s="1" t="s">
        <v>236</v>
      </c>
      <c r="B167" t="s">
        <v>58</v>
      </c>
      <c r="C167" t="s">
        <v>78</v>
      </c>
      <c r="D167" t="s">
        <v>73</v>
      </c>
      <c r="E167" t="s">
        <v>29</v>
      </c>
      <c r="F167" t="s">
        <v>30</v>
      </c>
      <c r="G167" t="s">
        <v>60</v>
      </c>
      <c r="H167" t="s">
        <v>32</v>
      </c>
      <c r="I167" t="s">
        <v>33</v>
      </c>
      <c r="J167" s="2">
        <v>45348</v>
      </c>
      <c r="K167" s="2">
        <v>45351</v>
      </c>
      <c r="L167" s="2">
        <v>45361</v>
      </c>
      <c r="M167" s="2">
        <v>45363</v>
      </c>
      <c r="N167" s="2">
        <v>45370</v>
      </c>
      <c r="O167">
        <v>1</v>
      </c>
      <c r="P167">
        <v>1</v>
      </c>
      <c r="Q167">
        <v>0</v>
      </c>
      <c r="R167">
        <v>0</v>
      </c>
      <c r="S167">
        <v>0</v>
      </c>
      <c r="T167" t="s">
        <v>34</v>
      </c>
      <c r="U167">
        <v>81</v>
      </c>
      <c r="W167">
        <v>9</v>
      </c>
    </row>
    <row r="168" spans="1:25">
      <c r="A168" s="1" t="s">
        <v>237</v>
      </c>
      <c r="B168" t="s">
        <v>70</v>
      </c>
      <c r="C168" t="s">
        <v>47</v>
      </c>
      <c r="D168" t="s">
        <v>52</v>
      </c>
      <c r="E168" t="s">
        <v>54</v>
      </c>
      <c r="F168" t="s">
        <v>30</v>
      </c>
      <c r="G168" t="s">
        <v>55</v>
      </c>
      <c r="H168" t="s">
        <v>56</v>
      </c>
      <c r="I168" t="s">
        <v>41</v>
      </c>
      <c r="J168" s="2">
        <v>45167</v>
      </c>
      <c r="K168" s="2">
        <v>45168</v>
      </c>
      <c r="L168" s="2">
        <v>45177</v>
      </c>
      <c r="M168" s="2">
        <v>45180</v>
      </c>
      <c r="N168" s="2">
        <v>45192</v>
      </c>
      <c r="O168">
        <v>1</v>
      </c>
      <c r="P168">
        <v>1</v>
      </c>
      <c r="Q168">
        <v>0</v>
      </c>
      <c r="R168">
        <v>0</v>
      </c>
      <c r="S168">
        <v>0</v>
      </c>
      <c r="T168" t="s">
        <v>34</v>
      </c>
      <c r="U168">
        <v>93</v>
      </c>
      <c r="W168">
        <v>12</v>
      </c>
    </row>
    <row r="169" spans="1:25">
      <c r="A169" s="1" t="s">
        <v>238</v>
      </c>
      <c r="B169" t="s">
        <v>58</v>
      </c>
      <c r="C169" t="s">
        <v>78</v>
      </c>
      <c r="D169" t="s">
        <v>59</v>
      </c>
      <c r="E169" t="s">
        <v>29</v>
      </c>
      <c r="F169" t="s">
        <v>64</v>
      </c>
      <c r="G169" t="s">
        <v>39</v>
      </c>
      <c r="H169" t="s">
        <v>56</v>
      </c>
      <c r="I169" t="s">
        <v>41</v>
      </c>
      <c r="J169" s="2">
        <v>45434</v>
      </c>
      <c r="K169" s="2">
        <v>45436</v>
      </c>
      <c r="L169" s="2">
        <v>45440</v>
      </c>
      <c r="M169" s="2">
        <v>45446</v>
      </c>
      <c r="N169" s="2">
        <v>45446</v>
      </c>
      <c r="O169">
        <v>1</v>
      </c>
      <c r="P169">
        <v>1</v>
      </c>
      <c r="Q169">
        <v>0</v>
      </c>
      <c r="R169">
        <v>0</v>
      </c>
      <c r="S169">
        <v>0</v>
      </c>
      <c r="T169" t="s">
        <v>34</v>
      </c>
      <c r="U169">
        <v>99</v>
      </c>
      <c r="W169">
        <v>8</v>
      </c>
    </row>
    <row r="170" spans="1:25">
      <c r="A170" s="1" t="s">
        <v>239</v>
      </c>
      <c r="B170" t="s">
        <v>43</v>
      </c>
      <c r="C170" t="s">
        <v>37</v>
      </c>
      <c r="D170" t="s">
        <v>44</v>
      </c>
      <c r="E170" t="s">
        <v>63</v>
      </c>
      <c r="F170" t="s">
        <v>76</v>
      </c>
      <c r="G170" t="s">
        <v>31</v>
      </c>
      <c r="H170" t="s">
        <v>56</v>
      </c>
      <c r="I170" t="s">
        <v>33</v>
      </c>
      <c r="J170" s="2">
        <v>45416</v>
      </c>
      <c r="K170" s="2">
        <v>45418</v>
      </c>
      <c r="L170" s="2">
        <v>45428</v>
      </c>
      <c r="M170" s="2">
        <v>45435</v>
      </c>
      <c r="N170" s="2">
        <v>45433</v>
      </c>
      <c r="O170">
        <v>1</v>
      </c>
      <c r="P170">
        <v>1</v>
      </c>
      <c r="Q170">
        <v>1</v>
      </c>
      <c r="R170">
        <v>0</v>
      </c>
      <c r="S170">
        <v>0</v>
      </c>
      <c r="T170" t="s">
        <v>49</v>
      </c>
      <c r="U170">
        <v>84</v>
      </c>
      <c r="W170">
        <v>3</v>
      </c>
      <c r="X170">
        <v>566505</v>
      </c>
      <c r="Y170" t="s">
        <v>68</v>
      </c>
    </row>
    <row r="171" spans="1:25">
      <c r="A171" s="1" t="s">
        <v>240</v>
      </c>
      <c r="B171" t="s">
        <v>43</v>
      </c>
      <c r="C171" t="s">
        <v>78</v>
      </c>
      <c r="D171" t="s">
        <v>28</v>
      </c>
      <c r="E171" t="s">
        <v>63</v>
      </c>
      <c r="F171" t="s">
        <v>64</v>
      </c>
      <c r="G171" t="s">
        <v>55</v>
      </c>
      <c r="H171" t="s">
        <v>56</v>
      </c>
      <c r="I171" t="s">
        <v>41</v>
      </c>
      <c r="J171" s="2">
        <v>44933</v>
      </c>
      <c r="K171" s="2">
        <v>44935</v>
      </c>
      <c r="L171" s="2">
        <v>44941</v>
      </c>
      <c r="M171" s="2">
        <v>44943</v>
      </c>
      <c r="N171" s="2">
        <v>44950</v>
      </c>
      <c r="O171">
        <v>0</v>
      </c>
      <c r="P171">
        <v>0</v>
      </c>
      <c r="Q171">
        <v>0</v>
      </c>
      <c r="R171">
        <v>0</v>
      </c>
      <c r="S171">
        <v>1</v>
      </c>
      <c r="T171" t="s">
        <v>74</v>
      </c>
      <c r="U171">
        <v>96</v>
      </c>
      <c r="W171">
        <v>7</v>
      </c>
    </row>
    <row r="172" spans="1:25">
      <c r="A172" s="1" t="s">
        <v>241</v>
      </c>
      <c r="B172" t="s">
        <v>43</v>
      </c>
      <c r="C172" t="s">
        <v>78</v>
      </c>
      <c r="D172" t="s">
        <v>59</v>
      </c>
      <c r="E172" t="s">
        <v>29</v>
      </c>
      <c r="F172" t="s">
        <v>48</v>
      </c>
      <c r="G172" t="s">
        <v>31</v>
      </c>
      <c r="H172" t="s">
        <v>40</v>
      </c>
      <c r="I172" t="s">
        <v>41</v>
      </c>
      <c r="J172" s="2">
        <v>45175</v>
      </c>
      <c r="K172" s="2">
        <v>45178</v>
      </c>
      <c r="L172" s="2">
        <v>45188</v>
      </c>
      <c r="M172" s="2">
        <v>45195</v>
      </c>
      <c r="N172" s="2">
        <v>45190</v>
      </c>
      <c r="O172">
        <v>1</v>
      </c>
      <c r="P172">
        <v>1</v>
      </c>
      <c r="Q172">
        <v>1</v>
      </c>
      <c r="R172">
        <v>0</v>
      </c>
      <c r="S172">
        <v>0</v>
      </c>
      <c r="T172" t="s">
        <v>49</v>
      </c>
      <c r="U172">
        <v>73</v>
      </c>
      <c r="W172">
        <v>6</v>
      </c>
      <c r="X172">
        <v>2112433</v>
      </c>
      <c r="Y172" t="s">
        <v>50</v>
      </c>
    </row>
    <row r="173" spans="1:25">
      <c r="A173" s="1" t="s">
        <v>242</v>
      </c>
      <c r="B173" t="s">
        <v>26</v>
      </c>
      <c r="C173" t="s">
        <v>71</v>
      </c>
      <c r="D173" t="s">
        <v>73</v>
      </c>
      <c r="E173" t="s">
        <v>102</v>
      </c>
      <c r="F173" t="s">
        <v>30</v>
      </c>
      <c r="G173" t="s">
        <v>55</v>
      </c>
      <c r="H173" t="s">
        <v>32</v>
      </c>
      <c r="I173" t="s">
        <v>33</v>
      </c>
      <c r="J173" s="2">
        <v>45220</v>
      </c>
      <c r="K173" s="2">
        <v>45223</v>
      </c>
      <c r="L173" s="2">
        <v>45229</v>
      </c>
      <c r="M173" s="2">
        <v>45232</v>
      </c>
      <c r="N173" s="2">
        <v>45243</v>
      </c>
      <c r="O173">
        <v>1</v>
      </c>
      <c r="P173">
        <v>1</v>
      </c>
      <c r="Q173">
        <v>1</v>
      </c>
      <c r="R173">
        <v>1</v>
      </c>
      <c r="S173">
        <v>0</v>
      </c>
      <c r="T173" t="s">
        <v>61</v>
      </c>
      <c r="U173">
        <v>89</v>
      </c>
      <c r="V173">
        <v>23</v>
      </c>
      <c r="W173">
        <v>7</v>
      </c>
      <c r="X173">
        <v>1461224</v>
      </c>
    </row>
    <row r="174" spans="1:25">
      <c r="A174" s="1" t="s">
        <v>243</v>
      </c>
      <c r="B174" t="s">
        <v>26</v>
      </c>
      <c r="C174" t="s">
        <v>47</v>
      </c>
      <c r="D174" t="s">
        <v>52</v>
      </c>
      <c r="E174" t="s">
        <v>54</v>
      </c>
      <c r="F174" t="s">
        <v>30</v>
      </c>
      <c r="G174" t="s">
        <v>45</v>
      </c>
      <c r="H174" t="s">
        <v>56</v>
      </c>
      <c r="I174" t="s">
        <v>33</v>
      </c>
      <c r="J174" s="2">
        <v>44989</v>
      </c>
      <c r="K174" s="2">
        <v>44990</v>
      </c>
      <c r="L174" s="2">
        <v>44995</v>
      </c>
      <c r="M174" s="2">
        <v>45000</v>
      </c>
      <c r="N174" s="2">
        <v>45005</v>
      </c>
      <c r="O174">
        <v>1</v>
      </c>
      <c r="P174">
        <v>0</v>
      </c>
      <c r="Q174">
        <v>0</v>
      </c>
      <c r="R174">
        <v>0</v>
      </c>
      <c r="S174">
        <v>0</v>
      </c>
      <c r="T174" t="s">
        <v>34</v>
      </c>
      <c r="U174">
        <v>46</v>
      </c>
      <c r="W174">
        <v>10</v>
      </c>
    </row>
    <row r="175" spans="1:25">
      <c r="A175" s="1" t="s">
        <v>244</v>
      </c>
      <c r="B175" t="s">
        <v>70</v>
      </c>
      <c r="C175" t="s">
        <v>27</v>
      </c>
      <c r="D175" t="s">
        <v>44</v>
      </c>
      <c r="E175" t="s">
        <v>102</v>
      </c>
      <c r="F175" t="s">
        <v>64</v>
      </c>
      <c r="G175" t="s">
        <v>45</v>
      </c>
      <c r="H175" t="s">
        <v>40</v>
      </c>
      <c r="I175" t="s">
        <v>41</v>
      </c>
      <c r="J175" s="2">
        <v>45446</v>
      </c>
      <c r="K175" s="2">
        <v>45448</v>
      </c>
      <c r="L175" s="2">
        <v>45455</v>
      </c>
      <c r="M175" s="2">
        <v>45460</v>
      </c>
      <c r="N175" s="2">
        <v>45466</v>
      </c>
      <c r="O175">
        <v>0</v>
      </c>
      <c r="P175">
        <v>0</v>
      </c>
      <c r="Q175">
        <v>0</v>
      </c>
      <c r="R175">
        <v>0</v>
      </c>
      <c r="S175">
        <v>1</v>
      </c>
      <c r="T175" t="s">
        <v>74</v>
      </c>
      <c r="U175">
        <v>92</v>
      </c>
      <c r="W175">
        <v>1</v>
      </c>
    </row>
    <row r="176" spans="1:25">
      <c r="A176" s="1" t="s">
        <v>245</v>
      </c>
      <c r="B176" t="s">
        <v>70</v>
      </c>
      <c r="C176" t="s">
        <v>47</v>
      </c>
      <c r="D176" t="s">
        <v>28</v>
      </c>
      <c r="E176" t="s">
        <v>29</v>
      </c>
      <c r="F176" t="s">
        <v>48</v>
      </c>
      <c r="G176" t="s">
        <v>60</v>
      </c>
      <c r="H176" t="s">
        <v>32</v>
      </c>
      <c r="I176" t="s">
        <v>41</v>
      </c>
      <c r="J176" s="2">
        <v>45407</v>
      </c>
      <c r="K176" s="2">
        <v>45412</v>
      </c>
      <c r="L176" s="2">
        <v>45420</v>
      </c>
      <c r="M176" s="2">
        <v>45424</v>
      </c>
      <c r="N176" s="2">
        <v>45431</v>
      </c>
      <c r="O176">
        <v>1</v>
      </c>
      <c r="P176">
        <v>1</v>
      </c>
      <c r="Q176">
        <v>1</v>
      </c>
      <c r="R176">
        <v>0</v>
      </c>
      <c r="S176">
        <v>0</v>
      </c>
      <c r="T176" t="s">
        <v>49</v>
      </c>
      <c r="U176">
        <v>53</v>
      </c>
      <c r="W176">
        <v>10</v>
      </c>
      <c r="X176">
        <v>2352026</v>
      </c>
      <c r="Y176" t="s">
        <v>87</v>
      </c>
    </row>
    <row r="177" spans="1:25">
      <c r="A177" s="1" t="s">
        <v>246</v>
      </c>
      <c r="B177" t="s">
        <v>43</v>
      </c>
      <c r="C177" t="s">
        <v>47</v>
      </c>
      <c r="D177" t="s">
        <v>73</v>
      </c>
      <c r="E177" t="s">
        <v>63</v>
      </c>
      <c r="F177" t="s">
        <v>30</v>
      </c>
      <c r="G177" t="s">
        <v>60</v>
      </c>
      <c r="H177" t="s">
        <v>40</v>
      </c>
      <c r="I177" t="s">
        <v>41</v>
      </c>
      <c r="J177" s="2">
        <v>45101</v>
      </c>
      <c r="K177" s="2">
        <v>45106</v>
      </c>
      <c r="L177" s="2">
        <v>45113</v>
      </c>
      <c r="M177" s="2">
        <v>45115</v>
      </c>
      <c r="N177" s="2">
        <v>45118</v>
      </c>
      <c r="O177">
        <v>1</v>
      </c>
      <c r="P177">
        <v>1</v>
      </c>
      <c r="Q177">
        <v>1</v>
      </c>
      <c r="R177">
        <v>0</v>
      </c>
      <c r="S177">
        <v>0</v>
      </c>
      <c r="T177" t="s">
        <v>49</v>
      </c>
      <c r="U177">
        <v>72</v>
      </c>
      <c r="W177">
        <v>8</v>
      </c>
      <c r="X177">
        <v>2278672</v>
      </c>
      <c r="Y177" t="s">
        <v>50</v>
      </c>
    </row>
    <row r="178" spans="1:25">
      <c r="A178" s="1" t="s">
        <v>247</v>
      </c>
      <c r="B178" t="s">
        <v>36</v>
      </c>
      <c r="C178" t="s">
        <v>71</v>
      </c>
      <c r="D178" t="s">
        <v>28</v>
      </c>
      <c r="E178" t="s">
        <v>102</v>
      </c>
      <c r="F178" t="s">
        <v>67</v>
      </c>
      <c r="G178" t="s">
        <v>60</v>
      </c>
      <c r="H178" t="s">
        <v>32</v>
      </c>
      <c r="I178" t="s">
        <v>33</v>
      </c>
      <c r="J178" s="2">
        <v>45465</v>
      </c>
      <c r="K178" s="2">
        <v>45470</v>
      </c>
      <c r="L178" s="2">
        <v>45478</v>
      </c>
      <c r="M178" s="2">
        <v>45481</v>
      </c>
      <c r="N178" s="2">
        <v>45488</v>
      </c>
      <c r="O178">
        <v>1</v>
      </c>
      <c r="P178">
        <v>1</v>
      </c>
      <c r="Q178">
        <v>0</v>
      </c>
      <c r="R178">
        <v>0</v>
      </c>
      <c r="S178">
        <v>0</v>
      </c>
      <c r="T178" t="s">
        <v>34</v>
      </c>
      <c r="U178">
        <v>64</v>
      </c>
      <c r="W178">
        <v>5</v>
      </c>
    </row>
    <row r="179" spans="1:25">
      <c r="A179" s="1" t="s">
        <v>248</v>
      </c>
      <c r="B179" t="s">
        <v>70</v>
      </c>
      <c r="C179" t="s">
        <v>78</v>
      </c>
      <c r="D179" t="s">
        <v>44</v>
      </c>
      <c r="E179" t="s">
        <v>29</v>
      </c>
      <c r="F179" t="s">
        <v>30</v>
      </c>
      <c r="G179" t="s">
        <v>45</v>
      </c>
      <c r="H179" t="s">
        <v>32</v>
      </c>
      <c r="I179" t="s">
        <v>41</v>
      </c>
      <c r="J179" s="2">
        <v>45163</v>
      </c>
      <c r="K179" s="2">
        <v>45167</v>
      </c>
      <c r="L179" s="2">
        <v>45176</v>
      </c>
      <c r="M179" s="2">
        <v>45178</v>
      </c>
      <c r="N179" s="2">
        <v>45187</v>
      </c>
      <c r="O179">
        <v>1</v>
      </c>
      <c r="P179">
        <v>1</v>
      </c>
      <c r="Q179">
        <v>1</v>
      </c>
      <c r="R179">
        <v>1</v>
      </c>
      <c r="S179">
        <v>0</v>
      </c>
      <c r="T179" t="s">
        <v>61</v>
      </c>
      <c r="U179">
        <v>66</v>
      </c>
      <c r="V179">
        <v>24</v>
      </c>
      <c r="W179">
        <v>10</v>
      </c>
      <c r="X179">
        <v>2104024</v>
      </c>
    </row>
    <row r="180" spans="1:25">
      <c r="A180" s="1" t="s">
        <v>249</v>
      </c>
      <c r="B180" t="s">
        <v>58</v>
      </c>
      <c r="C180" t="s">
        <v>27</v>
      </c>
      <c r="D180" t="s">
        <v>59</v>
      </c>
      <c r="E180" t="s">
        <v>102</v>
      </c>
      <c r="F180" t="s">
        <v>30</v>
      </c>
      <c r="G180" t="s">
        <v>45</v>
      </c>
      <c r="H180" t="s">
        <v>56</v>
      </c>
      <c r="I180" t="s">
        <v>41</v>
      </c>
      <c r="J180" s="2">
        <v>45123</v>
      </c>
      <c r="K180" s="2">
        <v>45127</v>
      </c>
      <c r="L180" s="2">
        <v>45137</v>
      </c>
      <c r="M180" s="2">
        <v>45140</v>
      </c>
      <c r="N180" s="2">
        <v>45141</v>
      </c>
      <c r="O180">
        <v>1</v>
      </c>
      <c r="P180">
        <v>1</v>
      </c>
      <c r="Q180">
        <v>1</v>
      </c>
      <c r="R180">
        <v>0</v>
      </c>
      <c r="S180">
        <v>0</v>
      </c>
      <c r="T180" t="s">
        <v>49</v>
      </c>
      <c r="U180">
        <v>55</v>
      </c>
      <c r="W180">
        <v>1</v>
      </c>
      <c r="X180">
        <v>416336</v>
      </c>
      <c r="Y180" t="s">
        <v>68</v>
      </c>
    </row>
    <row r="181" spans="1:25">
      <c r="A181" s="1" t="s">
        <v>250</v>
      </c>
      <c r="B181" t="s">
        <v>70</v>
      </c>
      <c r="C181" t="s">
        <v>37</v>
      </c>
      <c r="D181" t="s">
        <v>59</v>
      </c>
      <c r="E181" t="s">
        <v>29</v>
      </c>
      <c r="F181" t="s">
        <v>30</v>
      </c>
      <c r="G181" t="s">
        <v>31</v>
      </c>
      <c r="H181" t="s">
        <v>40</v>
      </c>
      <c r="I181" t="s">
        <v>33</v>
      </c>
      <c r="J181" s="2">
        <v>44988</v>
      </c>
      <c r="K181" s="2">
        <v>44992</v>
      </c>
      <c r="L181" s="2">
        <v>44995</v>
      </c>
      <c r="M181" s="2">
        <v>44998</v>
      </c>
      <c r="N181" s="2">
        <v>45026</v>
      </c>
      <c r="O181">
        <v>1</v>
      </c>
      <c r="P181">
        <v>1</v>
      </c>
      <c r="Q181">
        <v>0</v>
      </c>
      <c r="R181">
        <v>0</v>
      </c>
      <c r="S181">
        <v>1</v>
      </c>
      <c r="T181" t="s">
        <v>34</v>
      </c>
      <c r="U181">
        <v>48</v>
      </c>
      <c r="W181">
        <v>1</v>
      </c>
    </row>
    <row r="182" spans="1:25">
      <c r="A182" s="1" t="s">
        <v>251</v>
      </c>
      <c r="B182" t="s">
        <v>26</v>
      </c>
      <c r="C182" t="s">
        <v>78</v>
      </c>
      <c r="D182" t="s">
        <v>59</v>
      </c>
      <c r="E182" t="s">
        <v>63</v>
      </c>
      <c r="F182" t="s">
        <v>76</v>
      </c>
      <c r="G182" t="s">
        <v>31</v>
      </c>
      <c r="H182" t="s">
        <v>40</v>
      </c>
      <c r="I182" t="s">
        <v>41</v>
      </c>
      <c r="J182" s="2">
        <v>45266</v>
      </c>
      <c r="K182" s="2">
        <v>45271</v>
      </c>
      <c r="L182" s="2">
        <v>45274</v>
      </c>
      <c r="M182" s="2">
        <v>45278</v>
      </c>
      <c r="N182" s="2">
        <v>45285</v>
      </c>
      <c r="O182">
        <v>1</v>
      </c>
      <c r="P182">
        <v>1</v>
      </c>
      <c r="Q182">
        <v>1</v>
      </c>
      <c r="R182">
        <v>1</v>
      </c>
      <c r="S182">
        <v>0</v>
      </c>
      <c r="T182" t="s">
        <v>61</v>
      </c>
      <c r="U182">
        <v>55</v>
      </c>
      <c r="V182">
        <v>19</v>
      </c>
      <c r="W182">
        <v>9</v>
      </c>
      <c r="X182">
        <v>2149392</v>
      </c>
    </row>
    <row r="183" spans="1:25">
      <c r="A183" s="1" t="s">
        <v>252</v>
      </c>
      <c r="B183" t="s">
        <v>70</v>
      </c>
      <c r="C183" t="s">
        <v>27</v>
      </c>
      <c r="D183" t="s">
        <v>44</v>
      </c>
      <c r="E183" t="s">
        <v>102</v>
      </c>
      <c r="F183" t="s">
        <v>64</v>
      </c>
      <c r="G183" t="s">
        <v>60</v>
      </c>
      <c r="H183" t="s">
        <v>40</v>
      </c>
      <c r="I183" t="s">
        <v>33</v>
      </c>
      <c r="J183" s="2">
        <v>45328</v>
      </c>
      <c r="K183" s="2">
        <v>45331</v>
      </c>
      <c r="L183" s="2">
        <v>45336</v>
      </c>
      <c r="M183" s="2">
        <v>45343</v>
      </c>
      <c r="N183" s="2">
        <v>45349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74</v>
      </c>
      <c r="U183">
        <v>49</v>
      </c>
      <c r="W183">
        <v>0</v>
      </c>
    </row>
    <row r="184" spans="1:25">
      <c r="A184" s="1" t="s">
        <v>253</v>
      </c>
      <c r="B184" t="s">
        <v>58</v>
      </c>
      <c r="C184" t="s">
        <v>37</v>
      </c>
      <c r="D184" t="s">
        <v>44</v>
      </c>
      <c r="E184" t="s">
        <v>29</v>
      </c>
      <c r="F184" t="s">
        <v>30</v>
      </c>
      <c r="G184" t="s">
        <v>60</v>
      </c>
      <c r="H184" t="s">
        <v>56</v>
      </c>
      <c r="I184" t="s">
        <v>41</v>
      </c>
      <c r="J184" s="2">
        <v>45376</v>
      </c>
      <c r="K184" s="2">
        <v>45379</v>
      </c>
      <c r="L184" s="2">
        <v>45386</v>
      </c>
      <c r="M184" s="2">
        <v>45391</v>
      </c>
      <c r="N184" s="2">
        <v>45395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74</v>
      </c>
      <c r="U184">
        <v>66</v>
      </c>
      <c r="W184">
        <v>2</v>
      </c>
    </row>
    <row r="185" spans="1:25">
      <c r="A185" s="1" t="s">
        <v>254</v>
      </c>
      <c r="B185" t="s">
        <v>43</v>
      </c>
      <c r="C185" t="s">
        <v>27</v>
      </c>
      <c r="D185" t="s">
        <v>59</v>
      </c>
      <c r="E185" t="s">
        <v>63</v>
      </c>
      <c r="F185" t="s">
        <v>76</v>
      </c>
      <c r="G185" t="s">
        <v>45</v>
      </c>
      <c r="H185" t="s">
        <v>40</v>
      </c>
      <c r="I185" t="s">
        <v>33</v>
      </c>
      <c r="J185" s="2">
        <v>45265</v>
      </c>
      <c r="K185" s="2">
        <v>45269</v>
      </c>
      <c r="L185" s="2">
        <v>45273</v>
      </c>
      <c r="M185" s="2">
        <v>45278</v>
      </c>
      <c r="N185" s="2">
        <v>45283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74</v>
      </c>
      <c r="U185">
        <v>60</v>
      </c>
      <c r="W185">
        <v>0</v>
      </c>
    </row>
    <row r="186" spans="1:25">
      <c r="A186" s="1" t="s">
        <v>255</v>
      </c>
      <c r="B186" t="s">
        <v>70</v>
      </c>
      <c r="C186" t="s">
        <v>27</v>
      </c>
      <c r="D186" t="s">
        <v>59</v>
      </c>
      <c r="E186" t="s">
        <v>29</v>
      </c>
      <c r="F186" t="s">
        <v>30</v>
      </c>
      <c r="G186" t="s">
        <v>45</v>
      </c>
      <c r="H186" t="s">
        <v>40</v>
      </c>
      <c r="I186" t="s">
        <v>33</v>
      </c>
      <c r="J186" s="2">
        <v>45191</v>
      </c>
      <c r="K186" s="2">
        <v>45194</v>
      </c>
      <c r="L186" s="2">
        <v>45197</v>
      </c>
      <c r="M186" s="2">
        <v>45199</v>
      </c>
      <c r="N186" s="2">
        <v>45223</v>
      </c>
      <c r="O186">
        <v>1</v>
      </c>
      <c r="P186">
        <v>1</v>
      </c>
      <c r="Q186">
        <v>1</v>
      </c>
      <c r="R186">
        <v>1</v>
      </c>
      <c r="S186">
        <v>0</v>
      </c>
      <c r="T186" t="s">
        <v>61</v>
      </c>
      <c r="U186">
        <v>100</v>
      </c>
      <c r="V186">
        <v>32</v>
      </c>
      <c r="W186">
        <v>2</v>
      </c>
      <c r="X186">
        <v>420604</v>
      </c>
    </row>
    <row r="187" spans="1:25">
      <c r="A187" s="1" t="s">
        <v>256</v>
      </c>
      <c r="B187" t="s">
        <v>36</v>
      </c>
      <c r="C187" t="s">
        <v>37</v>
      </c>
      <c r="D187" t="s">
        <v>59</v>
      </c>
      <c r="E187" t="s">
        <v>29</v>
      </c>
      <c r="F187" t="s">
        <v>67</v>
      </c>
      <c r="G187" t="s">
        <v>31</v>
      </c>
      <c r="H187" t="s">
        <v>40</v>
      </c>
      <c r="I187" t="s">
        <v>33</v>
      </c>
      <c r="J187" s="2">
        <v>45099</v>
      </c>
      <c r="K187" s="2">
        <v>45104</v>
      </c>
      <c r="L187" s="2">
        <v>45113</v>
      </c>
      <c r="M187" s="2">
        <v>45119</v>
      </c>
      <c r="N187" s="2">
        <v>45119</v>
      </c>
      <c r="O187">
        <v>1</v>
      </c>
      <c r="P187">
        <v>0</v>
      </c>
      <c r="Q187">
        <v>0</v>
      </c>
      <c r="R187">
        <v>0</v>
      </c>
      <c r="S187">
        <v>0</v>
      </c>
      <c r="T187" t="s">
        <v>34</v>
      </c>
      <c r="U187">
        <v>56</v>
      </c>
      <c r="W187">
        <v>4</v>
      </c>
    </row>
    <row r="188" spans="1:25">
      <c r="A188" s="1" t="s">
        <v>257</v>
      </c>
      <c r="B188" t="s">
        <v>70</v>
      </c>
      <c r="C188" t="s">
        <v>27</v>
      </c>
      <c r="D188" t="s">
        <v>44</v>
      </c>
      <c r="E188" t="s">
        <v>102</v>
      </c>
      <c r="F188" t="s">
        <v>64</v>
      </c>
      <c r="G188" t="s">
        <v>45</v>
      </c>
      <c r="H188" t="s">
        <v>32</v>
      </c>
      <c r="I188" t="s">
        <v>33</v>
      </c>
      <c r="J188" s="2">
        <v>45338</v>
      </c>
      <c r="K188" s="2">
        <v>45340</v>
      </c>
      <c r="L188" s="2">
        <v>45346</v>
      </c>
      <c r="M188" s="2">
        <v>45353</v>
      </c>
      <c r="N188" s="2">
        <v>45366</v>
      </c>
      <c r="O188">
        <v>1</v>
      </c>
      <c r="P188">
        <v>1</v>
      </c>
      <c r="Q188">
        <v>1</v>
      </c>
      <c r="R188">
        <v>1</v>
      </c>
      <c r="S188">
        <v>0</v>
      </c>
      <c r="T188" t="s">
        <v>61</v>
      </c>
      <c r="U188">
        <v>79</v>
      </c>
      <c r="V188">
        <v>28</v>
      </c>
      <c r="W188">
        <v>1</v>
      </c>
      <c r="X188">
        <v>581354</v>
      </c>
    </row>
    <row r="189" spans="1:25">
      <c r="A189" s="1" t="s">
        <v>258</v>
      </c>
      <c r="B189" t="s">
        <v>70</v>
      </c>
      <c r="C189" t="s">
        <v>27</v>
      </c>
      <c r="D189" t="s">
        <v>28</v>
      </c>
      <c r="E189" t="s">
        <v>63</v>
      </c>
      <c r="F189" t="s">
        <v>64</v>
      </c>
      <c r="G189" t="s">
        <v>31</v>
      </c>
      <c r="H189" t="s">
        <v>56</v>
      </c>
      <c r="I189" t="s">
        <v>41</v>
      </c>
      <c r="J189" s="2">
        <v>45404</v>
      </c>
      <c r="K189" s="2">
        <v>45406</v>
      </c>
      <c r="L189" s="2">
        <v>45414</v>
      </c>
      <c r="M189" s="2">
        <v>45418</v>
      </c>
      <c r="N189" s="2">
        <v>45440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74</v>
      </c>
      <c r="U189">
        <v>95</v>
      </c>
      <c r="W189">
        <v>2</v>
      </c>
    </row>
    <row r="190" spans="1:25">
      <c r="A190" s="1" t="s">
        <v>259</v>
      </c>
      <c r="B190" t="s">
        <v>36</v>
      </c>
      <c r="C190" t="s">
        <v>47</v>
      </c>
      <c r="D190" t="s">
        <v>44</v>
      </c>
      <c r="E190" t="s">
        <v>102</v>
      </c>
      <c r="F190" t="s">
        <v>48</v>
      </c>
      <c r="G190" t="s">
        <v>31</v>
      </c>
      <c r="H190" t="s">
        <v>40</v>
      </c>
      <c r="I190" t="s">
        <v>33</v>
      </c>
      <c r="J190" s="2">
        <v>45001</v>
      </c>
      <c r="K190" s="2">
        <v>45006</v>
      </c>
      <c r="L190" s="2">
        <v>45013</v>
      </c>
      <c r="M190" s="2">
        <v>45016</v>
      </c>
      <c r="N190" s="2">
        <v>45021</v>
      </c>
      <c r="O190">
        <v>1</v>
      </c>
      <c r="P190">
        <v>1</v>
      </c>
      <c r="Q190">
        <v>0</v>
      </c>
      <c r="R190">
        <v>0</v>
      </c>
      <c r="S190">
        <v>0</v>
      </c>
      <c r="T190" t="s">
        <v>34</v>
      </c>
      <c r="U190">
        <v>52</v>
      </c>
      <c r="W190">
        <v>9</v>
      </c>
    </row>
    <row r="191" spans="1:25">
      <c r="A191" s="1" t="s">
        <v>260</v>
      </c>
      <c r="B191" t="s">
        <v>43</v>
      </c>
      <c r="C191" t="s">
        <v>78</v>
      </c>
      <c r="D191" t="s">
        <v>28</v>
      </c>
      <c r="E191" t="s">
        <v>54</v>
      </c>
      <c r="F191" t="s">
        <v>30</v>
      </c>
      <c r="G191" t="s">
        <v>39</v>
      </c>
      <c r="H191" t="s">
        <v>32</v>
      </c>
      <c r="I191" t="s">
        <v>33</v>
      </c>
      <c r="J191" s="2">
        <v>45164</v>
      </c>
      <c r="K191" s="2">
        <v>45166</v>
      </c>
      <c r="L191" s="2">
        <v>45173</v>
      </c>
      <c r="M191" s="2">
        <v>45178</v>
      </c>
      <c r="N191" s="2">
        <v>45188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74</v>
      </c>
      <c r="U191">
        <v>55</v>
      </c>
      <c r="W191">
        <v>6</v>
      </c>
    </row>
    <row r="192" spans="1:25">
      <c r="A192" s="1" t="s">
        <v>261</v>
      </c>
      <c r="B192" t="s">
        <v>70</v>
      </c>
      <c r="C192" t="s">
        <v>27</v>
      </c>
      <c r="D192" t="s">
        <v>44</v>
      </c>
      <c r="E192" t="s">
        <v>66</v>
      </c>
      <c r="F192" t="s">
        <v>76</v>
      </c>
      <c r="G192" t="s">
        <v>60</v>
      </c>
      <c r="H192" t="s">
        <v>32</v>
      </c>
      <c r="I192" t="s">
        <v>41</v>
      </c>
      <c r="J192" s="2">
        <v>45269</v>
      </c>
      <c r="K192" s="2">
        <v>45270</v>
      </c>
      <c r="L192" s="2">
        <v>45276</v>
      </c>
      <c r="M192" s="2">
        <v>45279</v>
      </c>
      <c r="N192" s="2">
        <v>45289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74</v>
      </c>
      <c r="U192">
        <v>93</v>
      </c>
      <c r="W192">
        <v>0</v>
      </c>
    </row>
    <row r="193" spans="1:25">
      <c r="A193" s="1" t="s">
        <v>262</v>
      </c>
      <c r="B193" t="s">
        <v>70</v>
      </c>
      <c r="C193" t="s">
        <v>78</v>
      </c>
      <c r="D193" t="s">
        <v>44</v>
      </c>
      <c r="E193" t="s">
        <v>63</v>
      </c>
      <c r="F193" t="s">
        <v>76</v>
      </c>
      <c r="G193" t="s">
        <v>55</v>
      </c>
      <c r="H193" t="s">
        <v>56</v>
      </c>
      <c r="I193" t="s">
        <v>33</v>
      </c>
      <c r="J193" s="2">
        <v>45402</v>
      </c>
      <c r="K193" s="2">
        <v>45404</v>
      </c>
      <c r="L193" s="2">
        <v>45413</v>
      </c>
      <c r="M193" s="2">
        <v>45420</v>
      </c>
      <c r="N193" s="2">
        <v>45430</v>
      </c>
      <c r="O193">
        <v>1</v>
      </c>
      <c r="P193">
        <v>1</v>
      </c>
      <c r="Q193">
        <v>1</v>
      </c>
      <c r="R193">
        <v>1</v>
      </c>
      <c r="S193">
        <v>0</v>
      </c>
      <c r="T193" t="s">
        <v>61</v>
      </c>
      <c r="U193">
        <v>90</v>
      </c>
      <c r="V193">
        <v>28</v>
      </c>
      <c r="W193">
        <v>8</v>
      </c>
      <c r="X193">
        <v>1823337</v>
      </c>
    </row>
    <row r="194" spans="1:25">
      <c r="A194" s="1" t="s">
        <v>263</v>
      </c>
      <c r="B194" t="s">
        <v>26</v>
      </c>
      <c r="C194" t="s">
        <v>37</v>
      </c>
      <c r="D194" t="s">
        <v>73</v>
      </c>
      <c r="E194" t="s">
        <v>29</v>
      </c>
      <c r="F194" t="s">
        <v>38</v>
      </c>
      <c r="G194" t="s">
        <v>55</v>
      </c>
      <c r="H194" t="s">
        <v>40</v>
      </c>
      <c r="I194" t="s">
        <v>33</v>
      </c>
      <c r="J194" s="2">
        <v>44953</v>
      </c>
      <c r="K194" s="2">
        <v>44958</v>
      </c>
      <c r="L194" s="2">
        <v>44964</v>
      </c>
      <c r="M194" s="2">
        <v>44967</v>
      </c>
      <c r="N194" s="2">
        <v>44968</v>
      </c>
      <c r="O194">
        <v>1</v>
      </c>
      <c r="P194">
        <v>1</v>
      </c>
      <c r="Q194">
        <v>1</v>
      </c>
      <c r="R194">
        <v>1</v>
      </c>
      <c r="S194">
        <v>0</v>
      </c>
      <c r="T194" t="s">
        <v>61</v>
      </c>
      <c r="U194">
        <v>75</v>
      </c>
      <c r="V194">
        <v>15</v>
      </c>
      <c r="W194">
        <v>4</v>
      </c>
      <c r="X194">
        <v>677694</v>
      </c>
    </row>
    <row r="195" spans="1:25">
      <c r="A195" s="1" t="s">
        <v>264</v>
      </c>
      <c r="B195" t="s">
        <v>26</v>
      </c>
      <c r="C195" t="s">
        <v>71</v>
      </c>
      <c r="D195" t="s">
        <v>28</v>
      </c>
      <c r="E195" t="s">
        <v>54</v>
      </c>
      <c r="F195" t="s">
        <v>30</v>
      </c>
      <c r="G195" t="s">
        <v>55</v>
      </c>
      <c r="H195" t="s">
        <v>32</v>
      </c>
      <c r="I195" t="s">
        <v>41</v>
      </c>
      <c r="J195" s="2">
        <v>45193</v>
      </c>
      <c r="K195" s="2">
        <v>45194</v>
      </c>
      <c r="L195" s="2">
        <v>45202</v>
      </c>
      <c r="M195" s="2">
        <v>45205</v>
      </c>
      <c r="N195" s="2">
        <v>45218</v>
      </c>
      <c r="O195">
        <v>1</v>
      </c>
      <c r="P195">
        <v>1</v>
      </c>
      <c r="Q195">
        <v>1</v>
      </c>
      <c r="R195">
        <v>0</v>
      </c>
      <c r="S195">
        <v>0</v>
      </c>
      <c r="T195" t="s">
        <v>49</v>
      </c>
      <c r="U195">
        <v>100</v>
      </c>
      <c r="W195">
        <v>5</v>
      </c>
      <c r="X195">
        <v>1096190</v>
      </c>
      <c r="Y195" t="s">
        <v>127</v>
      </c>
    </row>
    <row r="196" spans="1:25">
      <c r="A196" s="1" t="s">
        <v>265</v>
      </c>
      <c r="B196" t="s">
        <v>70</v>
      </c>
      <c r="C196" t="s">
        <v>27</v>
      </c>
      <c r="D196" t="s">
        <v>59</v>
      </c>
      <c r="E196" t="s">
        <v>29</v>
      </c>
      <c r="F196" t="s">
        <v>38</v>
      </c>
      <c r="G196" t="s">
        <v>55</v>
      </c>
      <c r="H196" t="s">
        <v>32</v>
      </c>
      <c r="I196" t="s">
        <v>33</v>
      </c>
      <c r="J196" s="2">
        <v>45470</v>
      </c>
      <c r="K196" s="2">
        <v>45472</v>
      </c>
      <c r="L196" s="2">
        <v>45475</v>
      </c>
      <c r="M196" s="2">
        <v>45477</v>
      </c>
      <c r="N196" s="2">
        <v>45501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74</v>
      </c>
      <c r="U196">
        <v>75</v>
      </c>
      <c r="W196">
        <v>1</v>
      </c>
    </row>
    <row r="197" spans="1:25">
      <c r="A197" s="1" t="s">
        <v>266</v>
      </c>
      <c r="B197" t="s">
        <v>70</v>
      </c>
      <c r="C197" t="s">
        <v>47</v>
      </c>
      <c r="D197" t="s">
        <v>44</v>
      </c>
      <c r="E197" t="s">
        <v>66</v>
      </c>
      <c r="F197" t="s">
        <v>76</v>
      </c>
      <c r="G197" t="s">
        <v>55</v>
      </c>
      <c r="H197" t="s">
        <v>32</v>
      </c>
      <c r="I197" t="s">
        <v>41</v>
      </c>
      <c r="J197" s="2">
        <v>45097</v>
      </c>
      <c r="K197" s="2">
        <v>45101</v>
      </c>
      <c r="L197" s="2">
        <v>45111</v>
      </c>
      <c r="M197" s="2">
        <v>45118</v>
      </c>
      <c r="N197" s="2">
        <v>45131</v>
      </c>
      <c r="O197">
        <v>1</v>
      </c>
      <c r="P197">
        <v>1</v>
      </c>
      <c r="Q197">
        <v>1</v>
      </c>
      <c r="R197">
        <v>0</v>
      </c>
      <c r="S197">
        <v>0</v>
      </c>
      <c r="T197" t="s">
        <v>49</v>
      </c>
      <c r="U197">
        <v>72</v>
      </c>
      <c r="W197">
        <v>14</v>
      </c>
      <c r="X197">
        <v>2264468</v>
      </c>
      <c r="Y197" t="s">
        <v>68</v>
      </c>
    </row>
    <row r="198" spans="1:25">
      <c r="A198" s="1" t="s">
        <v>267</v>
      </c>
      <c r="B198" t="s">
        <v>36</v>
      </c>
      <c r="C198" t="s">
        <v>37</v>
      </c>
      <c r="D198" t="s">
        <v>28</v>
      </c>
      <c r="E198" t="s">
        <v>66</v>
      </c>
      <c r="F198" t="s">
        <v>48</v>
      </c>
      <c r="G198" t="s">
        <v>60</v>
      </c>
      <c r="H198" t="s">
        <v>40</v>
      </c>
      <c r="I198" t="s">
        <v>33</v>
      </c>
      <c r="J198" s="2">
        <v>45319</v>
      </c>
      <c r="K198" s="2">
        <v>45323</v>
      </c>
      <c r="L198" s="2">
        <v>45327</v>
      </c>
      <c r="M198" s="2">
        <v>45334</v>
      </c>
      <c r="N198" s="2">
        <v>45333</v>
      </c>
      <c r="O198">
        <v>1</v>
      </c>
      <c r="P198">
        <v>1</v>
      </c>
      <c r="Q198">
        <v>1</v>
      </c>
      <c r="R198">
        <v>1</v>
      </c>
      <c r="S198">
        <v>0</v>
      </c>
      <c r="T198" t="s">
        <v>61</v>
      </c>
      <c r="U198">
        <v>67</v>
      </c>
      <c r="V198">
        <v>14</v>
      </c>
      <c r="W198">
        <v>1</v>
      </c>
      <c r="X198">
        <v>653247</v>
      </c>
    </row>
    <row r="199" spans="1:25">
      <c r="A199" s="1" t="s">
        <v>268</v>
      </c>
      <c r="B199" t="s">
        <v>36</v>
      </c>
      <c r="C199" t="s">
        <v>47</v>
      </c>
      <c r="D199" t="s">
        <v>44</v>
      </c>
      <c r="E199" t="s">
        <v>63</v>
      </c>
      <c r="F199" t="s">
        <v>38</v>
      </c>
      <c r="G199" t="s">
        <v>31</v>
      </c>
      <c r="H199" t="s">
        <v>40</v>
      </c>
      <c r="I199" t="s">
        <v>33</v>
      </c>
      <c r="J199" s="2">
        <v>45034</v>
      </c>
      <c r="K199" s="2">
        <v>45039</v>
      </c>
      <c r="L199" s="2">
        <v>45044</v>
      </c>
      <c r="M199" s="2">
        <v>45048</v>
      </c>
      <c r="N199" s="2">
        <v>45063</v>
      </c>
      <c r="O199">
        <v>1</v>
      </c>
      <c r="P199">
        <v>1</v>
      </c>
      <c r="Q199">
        <v>1</v>
      </c>
      <c r="R199">
        <v>1</v>
      </c>
      <c r="S199">
        <v>0</v>
      </c>
      <c r="T199" t="s">
        <v>61</v>
      </c>
      <c r="U199">
        <v>99</v>
      </c>
      <c r="V199">
        <v>29</v>
      </c>
      <c r="W199">
        <v>15</v>
      </c>
      <c r="X199">
        <v>2365218</v>
      </c>
    </row>
    <row r="200" spans="1:25">
      <c r="A200" s="1" t="s">
        <v>269</v>
      </c>
      <c r="B200" t="s">
        <v>36</v>
      </c>
      <c r="C200" t="s">
        <v>71</v>
      </c>
      <c r="D200" t="s">
        <v>59</v>
      </c>
      <c r="E200" t="s">
        <v>66</v>
      </c>
      <c r="F200" t="s">
        <v>76</v>
      </c>
      <c r="G200" t="s">
        <v>39</v>
      </c>
      <c r="H200" t="s">
        <v>40</v>
      </c>
      <c r="I200" t="s">
        <v>33</v>
      </c>
      <c r="J200" s="2">
        <v>45179</v>
      </c>
      <c r="K200" s="2">
        <v>45184</v>
      </c>
      <c r="L200" s="2">
        <v>45188</v>
      </c>
      <c r="M200" s="2">
        <v>45190</v>
      </c>
      <c r="N200" s="2">
        <v>45195</v>
      </c>
      <c r="O200">
        <v>1</v>
      </c>
      <c r="P200">
        <v>1</v>
      </c>
      <c r="Q200">
        <v>0</v>
      </c>
      <c r="R200">
        <v>0</v>
      </c>
      <c r="S200">
        <v>0</v>
      </c>
      <c r="T200" t="s">
        <v>34</v>
      </c>
      <c r="U200">
        <v>100</v>
      </c>
      <c r="W200">
        <v>4</v>
      </c>
    </row>
    <row r="201" spans="1:25">
      <c r="A201" s="1" t="s">
        <v>270</v>
      </c>
      <c r="B201" t="s">
        <v>26</v>
      </c>
      <c r="C201" t="s">
        <v>78</v>
      </c>
      <c r="D201" t="s">
        <v>52</v>
      </c>
      <c r="E201" t="s">
        <v>102</v>
      </c>
      <c r="F201" t="s">
        <v>67</v>
      </c>
      <c r="G201" t="s">
        <v>60</v>
      </c>
      <c r="H201" t="s">
        <v>40</v>
      </c>
      <c r="I201" t="s">
        <v>41</v>
      </c>
      <c r="J201" s="2">
        <v>45060</v>
      </c>
      <c r="K201" s="2">
        <v>45061</v>
      </c>
      <c r="L201" s="2">
        <v>45069</v>
      </c>
      <c r="M201" s="2">
        <v>45073</v>
      </c>
      <c r="N201" s="2">
        <v>45084</v>
      </c>
      <c r="O201">
        <v>1</v>
      </c>
      <c r="P201">
        <v>1</v>
      </c>
      <c r="Q201">
        <v>1</v>
      </c>
      <c r="R201">
        <v>0</v>
      </c>
      <c r="S201">
        <v>0</v>
      </c>
      <c r="T201" t="s">
        <v>49</v>
      </c>
      <c r="U201">
        <v>97</v>
      </c>
      <c r="W201">
        <v>8</v>
      </c>
      <c r="X201">
        <v>1462438</v>
      </c>
      <c r="Y201" t="s">
        <v>127</v>
      </c>
    </row>
    <row r="202" spans="1:25">
      <c r="A202" s="1" t="s">
        <v>271</v>
      </c>
      <c r="B202" t="s">
        <v>58</v>
      </c>
      <c r="C202" t="s">
        <v>47</v>
      </c>
      <c r="D202" t="s">
        <v>52</v>
      </c>
      <c r="E202" t="s">
        <v>54</v>
      </c>
      <c r="F202" t="s">
        <v>48</v>
      </c>
      <c r="G202" t="s">
        <v>55</v>
      </c>
      <c r="H202" t="s">
        <v>32</v>
      </c>
      <c r="I202" t="s">
        <v>41</v>
      </c>
      <c r="J202" s="2">
        <v>44931</v>
      </c>
      <c r="K202" s="2">
        <v>44934</v>
      </c>
      <c r="L202" s="2">
        <v>44944</v>
      </c>
      <c r="M202" s="2">
        <v>44947</v>
      </c>
      <c r="N202" s="2">
        <v>44943</v>
      </c>
      <c r="O202">
        <v>1</v>
      </c>
      <c r="P202">
        <v>1</v>
      </c>
      <c r="Q202">
        <v>1</v>
      </c>
      <c r="R202">
        <v>0</v>
      </c>
      <c r="S202">
        <v>0</v>
      </c>
      <c r="T202" t="s">
        <v>49</v>
      </c>
      <c r="U202">
        <v>61</v>
      </c>
      <c r="W202">
        <v>15</v>
      </c>
      <c r="X202">
        <v>2552424</v>
      </c>
      <c r="Y202" t="s">
        <v>87</v>
      </c>
    </row>
    <row r="203" spans="1:25">
      <c r="A203" s="1" t="s">
        <v>272</v>
      </c>
      <c r="B203" t="s">
        <v>26</v>
      </c>
      <c r="C203" t="s">
        <v>47</v>
      </c>
      <c r="D203" t="s">
        <v>59</v>
      </c>
      <c r="E203" t="s">
        <v>29</v>
      </c>
      <c r="F203" t="s">
        <v>76</v>
      </c>
      <c r="G203" t="s">
        <v>39</v>
      </c>
      <c r="H203" t="s">
        <v>40</v>
      </c>
      <c r="I203" t="s">
        <v>33</v>
      </c>
      <c r="J203" s="2">
        <v>45124</v>
      </c>
      <c r="K203" s="2">
        <v>45129</v>
      </c>
      <c r="L203" s="2">
        <v>45137</v>
      </c>
      <c r="M203" s="2">
        <v>45141</v>
      </c>
      <c r="N203" s="2">
        <v>45144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74</v>
      </c>
      <c r="U203">
        <v>69</v>
      </c>
      <c r="W203">
        <v>8</v>
      </c>
    </row>
    <row r="204" spans="1:25">
      <c r="A204" s="1" t="s">
        <v>273</v>
      </c>
      <c r="B204" t="s">
        <v>26</v>
      </c>
      <c r="C204" t="s">
        <v>47</v>
      </c>
      <c r="D204" t="s">
        <v>73</v>
      </c>
      <c r="E204" t="s">
        <v>63</v>
      </c>
      <c r="F204" t="s">
        <v>76</v>
      </c>
      <c r="G204" t="s">
        <v>60</v>
      </c>
      <c r="H204" t="s">
        <v>40</v>
      </c>
      <c r="I204" t="s">
        <v>33</v>
      </c>
      <c r="J204" s="2">
        <v>45318</v>
      </c>
      <c r="K204" s="2">
        <v>45323</v>
      </c>
      <c r="L204" s="2">
        <v>45330</v>
      </c>
      <c r="M204" s="2">
        <v>45335</v>
      </c>
      <c r="N204" s="2">
        <v>45343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74</v>
      </c>
      <c r="U204">
        <v>75</v>
      </c>
      <c r="W204">
        <v>12</v>
      </c>
    </row>
    <row r="205" spans="1:25">
      <c r="A205" s="1" t="s">
        <v>274</v>
      </c>
      <c r="B205" t="s">
        <v>26</v>
      </c>
      <c r="C205" t="s">
        <v>78</v>
      </c>
      <c r="D205" t="s">
        <v>59</v>
      </c>
      <c r="E205" t="s">
        <v>66</v>
      </c>
      <c r="F205" t="s">
        <v>76</v>
      </c>
      <c r="G205" t="s">
        <v>39</v>
      </c>
      <c r="H205" t="s">
        <v>32</v>
      </c>
      <c r="I205" t="s">
        <v>41</v>
      </c>
      <c r="J205" s="2">
        <v>45170</v>
      </c>
      <c r="K205" s="2">
        <v>45175</v>
      </c>
      <c r="L205" s="2">
        <v>45179</v>
      </c>
      <c r="M205" s="2">
        <v>45186</v>
      </c>
      <c r="N205" s="2">
        <v>45193</v>
      </c>
      <c r="O205">
        <v>1</v>
      </c>
      <c r="P205">
        <v>0</v>
      </c>
      <c r="Q205">
        <v>0</v>
      </c>
      <c r="R205">
        <v>0</v>
      </c>
      <c r="S205">
        <v>0</v>
      </c>
      <c r="T205" t="s">
        <v>34</v>
      </c>
      <c r="U205">
        <v>71</v>
      </c>
      <c r="W205">
        <v>8</v>
      </c>
    </row>
    <row r="206" spans="1:25">
      <c r="A206" s="1" t="s">
        <v>275</v>
      </c>
      <c r="B206" t="s">
        <v>26</v>
      </c>
      <c r="C206" t="s">
        <v>71</v>
      </c>
      <c r="D206" t="s">
        <v>59</v>
      </c>
      <c r="E206" t="s">
        <v>29</v>
      </c>
      <c r="F206" t="s">
        <v>48</v>
      </c>
      <c r="G206" t="s">
        <v>39</v>
      </c>
      <c r="H206" t="s">
        <v>40</v>
      </c>
      <c r="I206" t="s">
        <v>41</v>
      </c>
      <c r="J206" s="2">
        <v>45014</v>
      </c>
      <c r="K206" s="2">
        <v>45015</v>
      </c>
      <c r="L206" s="2">
        <v>45021</v>
      </c>
      <c r="M206" s="2">
        <v>45024</v>
      </c>
      <c r="N206" s="2">
        <v>45027</v>
      </c>
      <c r="O206">
        <v>1</v>
      </c>
      <c r="P206">
        <v>1</v>
      </c>
      <c r="Q206">
        <v>1</v>
      </c>
      <c r="R206">
        <v>0</v>
      </c>
      <c r="S206">
        <v>1</v>
      </c>
      <c r="T206" t="s">
        <v>49</v>
      </c>
      <c r="U206">
        <v>100</v>
      </c>
      <c r="W206">
        <v>5</v>
      </c>
      <c r="X206">
        <v>816780</v>
      </c>
      <c r="Y206" t="s">
        <v>127</v>
      </c>
    </row>
    <row r="207" spans="1:25">
      <c r="A207" s="1" t="s">
        <v>276</v>
      </c>
      <c r="B207" t="s">
        <v>70</v>
      </c>
      <c r="C207" t="s">
        <v>27</v>
      </c>
      <c r="D207" t="s">
        <v>28</v>
      </c>
      <c r="E207" t="s">
        <v>102</v>
      </c>
      <c r="F207" t="s">
        <v>30</v>
      </c>
      <c r="G207" t="s">
        <v>31</v>
      </c>
      <c r="H207" t="s">
        <v>40</v>
      </c>
      <c r="I207" t="s">
        <v>41</v>
      </c>
      <c r="J207" s="2">
        <v>45243</v>
      </c>
      <c r="K207" s="2">
        <v>45247</v>
      </c>
      <c r="L207" s="2">
        <v>45253</v>
      </c>
      <c r="M207" s="2">
        <v>45255</v>
      </c>
      <c r="N207" s="2">
        <v>45280</v>
      </c>
      <c r="O207">
        <v>1</v>
      </c>
      <c r="P207">
        <v>0</v>
      </c>
      <c r="Q207">
        <v>0</v>
      </c>
      <c r="R207">
        <v>0</v>
      </c>
      <c r="S207">
        <v>0</v>
      </c>
      <c r="T207" t="s">
        <v>34</v>
      </c>
      <c r="U207">
        <v>64</v>
      </c>
      <c r="W207">
        <v>2</v>
      </c>
    </row>
    <row r="208" spans="1:25">
      <c r="A208" s="1" t="s">
        <v>277</v>
      </c>
      <c r="B208" t="s">
        <v>70</v>
      </c>
      <c r="C208" t="s">
        <v>47</v>
      </c>
      <c r="D208" t="s">
        <v>44</v>
      </c>
      <c r="E208" t="s">
        <v>102</v>
      </c>
      <c r="F208" t="s">
        <v>76</v>
      </c>
      <c r="G208" t="s">
        <v>60</v>
      </c>
      <c r="H208" t="s">
        <v>32</v>
      </c>
      <c r="I208" t="s">
        <v>41</v>
      </c>
      <c r="J208" s="2">
        <v>45319</v>
      </c>
      <c r="K208" s="2">
        <v>45323</v>
      </c>
      <c r="L208" s="2">
        <v>45333</v>
      </c>
      <c r="M208" s="2">
        <v>45335</v>
      </c>
      <c r="N208" s="2">
        <v>45352</v>
      </c>
      <c r="O208">
        <v>1</v>
      </c>
      <c r="P208">
        <v>1</v>
      </c>
      <c r="Q208">
        <v>1</v>
      </c>
      <c r="R208">
        <v>0</v>
      </c>
      <c r="S208">
        <v>0</v>
      </c>
      <c r="T208" t="s">
        <v>49</v>
      </c>
      <c r="U208">
        <v>51</v>
      </c>
      <c r="W208">
        <v>14</v>
      </c>
      <c r="X208">
        <v>3139393</v>
      </c>
      <c r="Y208" t="s">
        <v>87</v>
      </c>
    </row>
    <row r="209" spans="1:25">
      <c r="A209" s="1" t="s">
        <v>278</v>
      </c>
      <c r="B209" t="s">
        <v>43</v>
      </c>
      <c r="C209" t="s">
        <v>37</v>
      </c>
      <c r="D209" t="s">
        <v>59</v>
      </c>
      <c r="E209" t="s">
        <v>63</v>
      </c>
      <c r="F209" t="s">
        <v>48</v>
      </c>
      <c r="G209" t="s">
        <v>31</v>
      </c>
      <c r="H209" t="s">
        <v>56</v>
      </c>
      <c r="I209" t="s">
        <v>33</v>
      </c>
      <c r="J209" s="2">
        <v>45282</v>
      </c>
      <c r="K209" s="2">
        <v>45285</v>
      </c>
      <c r="L209" s="2">
        <v>45289</v>
      </c>
      <c r="M209" s="2">
        <v>45294</v>
      </c>
      <c r="N209" s="2">
        <v>45299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74</v>
      </c>
      <c r="U209">
        <v>98</v>
      </c>
      <c r="W209">
        <v>4</v>
      </c>
    </row>
    <row r="210" spans="1:25">
      <c r="A210" s="1" t="s">
        <v>279</v>
      </c>
      <c r="B210" t="s">
        <v>43</v>
      </c>
      <c r="C210" t="s">
        <v>27</v>
      </c>
      <c r="D210" t="s">
        <v>59</v>
      </c>
      <c r="E210" t="s">
        <v>29</v>
      </c>
      <c r="F210" t="s">
        <v>38</v>
      </c>
      <c r="G210" t="s">
        <v>45</v>
      </c>
      <c r="H210" t="s">
        <v>40</v>
      </c>
      <c r="I210" t="s">
        <v>33</v>
      </c>
      <c r="J210" s="2">
        <v>45309</v>
      </c>
      <c r="K210" s="2">
        <v>45314</v>
      </c>
      <c r="L210" s="2">
        <v>45324</v>
      </c>
      <c r="M210" s="2">
        <v>45331</v>
      </c>
      <c r="N210" s="2">
        <v>45331</v>
      </c>
      <c r="O210">
        <v>1</v>
      </c>
      <c r="P210">
        <v>0</v>
      </c>
      <c r="Q210">
        <v>0</v>
      </c>
      <c r="R210">
        <v>0</v>
      </c>
      <c r="S210">
        <v>1</v>
      </c>
      <c r="T210" t="s">
        <v>34</v>
      </c>
      <c r="U210">
        <v>90</v>
      </c>
      <c r="W210">
        <v>0</v>
      </c>
    </row>
    <row r="211" spans="1:25">
      <c r="A211" s="1" t="s">
        <v>280</v>
      </c>
      <c r="B211" t="s">
        <v>36</v>
      </c>
      <c r="C211" t="s">
        <v>71</v>
      </c>
      <c r="D211" t="s">
        <v>52</v>
      </c>
      <c r="E211" t="s">
        <v>63</v>
      </c>
      <c r="F211" t="s">
        <v>76</v>
      </c>
      <c r="G211" t="s">
        <v>55</v>
      </c>
      <c r="H211" t="s">
        <v>40</v>
      </c>
      <c r="I211" t="s">
        <v>33</v>
      </c>
      <c r="J211" s="2">
        <v>45385</v>
      </c>
      <c r="K211" s="2">
        <v>45388</v>
      </c>
      <c r="L211" s="2">
        <v>45393</v>
      </c>
      <c r="M211" s="2">
        <v>45396</v>
      </c>
      <c r="N211" s="2">
        <v>45407</v>
      </c>
      <c r="O211">
        <v>1</v>
      </c>
      <c r="P211">
        <v>0</v>
      </c>
      <c r="Q211">
        <v>0</v>
      </c>
      <c r="R211">
        <v>0</v>
      </c>
      <c r="S211">
        <v>1</v>
      </c>
      <c r="T211" t="s">
        <v>34</v>
      </c>
      <c r="U211">
        <v>66</v>
      </c>
      <c r="W211">
        <v>7</v>
      </c>
    </row>
    <row r="212" spans="1:25">
      <c r="A212" s="1" t="s">
        <v>281</v>
      </c>
      <c r="B212" t="s">
        <v>26</v>
      </c>
      <c r="C212" t="s">
        <v>71</v>
      </c>
      <c r="D212" t="s">
        <v>73</v>
      </c>
      <c r="E212" t="s">
        <v>66</v>
      </c>
      <c r="F212" t="s">
        <v>64</v>
      </c>
      <c r="G212" t="s">
        <v>31</v>
      </c>
      <c r="H212" t="s">
        <v>32</v>
      </c>
      <c r="I212" t="s">
        <v>41</v>
      </c>
      <c r="J212" s="2">
        <v>45430</v>
      </c>
      <c r="K212" s="2">
        <v>45434</v>
      </c>
      <c r="L212" s="2">
        <v>45441</v>
      </c>
      <c r="M212" s="2">
        <v>45444</v>
      </c>
      <c r="N212" s="2">
        <v>45449</v>
      </c>
      <c r="O212">
        <v>1</v>
      </c>
      <c r="P212">
        <v>0</v>
      </c>
      <c r="Q212">
        <v>0</v>
      </c>
      <c r="R212">
        <v>0</v>
      </c>
      <c r="S212">
        <v>1</v>
      </c>
      <c r="T212" t="s">
        <v>34</v>
      </c>
      <c r="U212">
        <v>56</v>
      </c>
      <c r="W212">
        <v>4</v>
      </c>
    </row>
    <row r="213" spans="1:25">
      <c r="A213" s="1" t="s">
        <v>282</v>
      </c>
      <c r="B213" t="s">
        <v>90</v>
      </c>
      <c r="C213" t="s">
        <v>27</v>
      </c>
      <c r="D213" t="s">
        <v>28</v>
      </c>
      <c r="E213" t="s">
        <v>29</v>
      </c>
      <c r="F213" t="s">
        <v>48</v>
      </c>
      <c r="G213" t="s">
        <v>45</v>
      </c>
      <c r="H213" t="s">
        <v>40</v>
      </c>
      <c r="I213" t="s">
        <v>33</v>
      </c>
      <c r="J213" s="2">
        <v>45262</v>
      </c>
      <c r="K213" s="2">
        <v>45264</v>
      </c>
      <c r="L213" s="2">
        <v>45268</v>
      </c>
      <c r="M213" s="2">
        <v>45271</v>
      </c>
      <c r="N213" s="2">
        <v>45282</v>
      </c>
      <c r="O213">
        <v>1</v>
      </c>
      <c r="P213">
        <v>0</v>
      </c>
      <c r="Q213">
        <v>0</v>
      </c>
      <c r="R213">
        <v>0</v>
      </c>
      <c r="S213">
        <v>0</v>
      </c>
      <c r="T213" t="s">
        <v>34</v>
      </c>
      <c r="U213">
        <v>64</v>
      </c>
      <c r="W213">
        <v>0</v>
      </c>
    </row>
    <row r="214" spans="1:25">
      <c r="A214" s="1" t="s">
        <v>283</v>
      </c>
      <c r="B214" t="s">
        <v>70</v>
      </c>
      <c r="C214" t="s">
        <v>47</v>
      </c>
      <c r="D214" t="s">
        <v>52</v>
      </c>
      <c r="E214" t="s">
        <v>29</v>
      </c>
      <c r="F214" t="s">
        <v>38</v>
      </c>
      <c r="G214" t="s">
        <v>31</v>
      </c>
      <c r="H214" t="s">
        <v>56</v>
      </c>
      <c r="I214" t="s">
        <v>33</v>
      </c>
      <c r="J214" s="2">
        <v>45289</v>
      </c>
      <c r="K214" s="2">
        <v>45292</v>
      </c>
      <c r="L214" s="2">
        <v>45295</v>
      </c>
      <c r="M214" s="2">
        <v>45297</v>
      </c>
      <c r="N214" s="2">
        <v>45309</v>
      </c>
      <c r="O214">
        <v>1</v>
      </c>
      <c r="P214">
        <v>1</v>
      </c>
      <c r="Q214">
        <v>0</v>
      </c>
      <c r="R214">
        <v>0</v>
      </c>
      <c r="S214">
        <v>0</v>
      </c>
      <c r="T214" t="s">
        <v>34</v>
      </c>
      <c r="U214">
        <v>75</v>
      </c>
      <c r="W214">
        <v>8</v>
      </c>
    </row>
    <row r="215" spans="1:25">
      <c r="A215" s="1" t="s">
        <v>284</v>
      </c>
      <c r="B215" t="s">
        <v>43</v>
      </c>
      <c r="C215" t="s">
        <v>27</v>
      </c>
      <c r="D215" t="s">
        <v>59</v>
      </c>
      <c r="E215" t="s">
        <v>102</v>
      </c>
      <c r="F215" t="s">
        <v>67</v>
      </c>
      <c r="G215" t="s">
        <v>39</v>
      </c>
      <c r="H215" t="s">
        <v>40</v>
      </c>
      <c r="I215" t="s">
        <v>41</v>
      </c>
      <c r="J215" s="2">
        <v>45377</v>
      </c>
      <c r="K215" s="2">
        <v>45382</v>
      </c>
      <c r="L215" s="2">
        <v>45387</v>
      </c>
      <c r="M215" s="2">
        <v>45394</v>
      </c>
      <c r="N215" s="2">
        <v>45392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74</v>
      </c>
      <c r="U215">
        <v>78</v>
      </c>
      <c r="W215">
        <v>1</v>
      </c>
    </row>
    <row r="216" spans="1:25">
      <c r="A216" s="1" t="s">
        <v>285</v>
      </c>
      <c r="B216" t="s">
        <v>43</v>
      </c>
      <c r="C216" t="s">
        <v>37</v>
      </c>
      <c r="D216" t="s">
        <v>59</v>
      </c>
      <c r="E216" t="s">
        <v>102</v>
      </c>
      <c r="F216" t="s">
        <v>30</v>
      </c>
      <c r="G216" t="s">
        <v>31</v>
      </c>
      <c r="H216" t="s">
        <v>56</v>
      </c>
      <c r="I216" t="s">
        <v>33</v>
      </c>
      <c r="J216" s="2">
        <v>45356</v>
      </c>
      <c r="K216" s="2">
        <v>45357</v>
      </c>
      <c r="L216" s="2">
        <v>45363</v>
      </c>
      <c r="M216" s="2">
        <v>45366</v>
      </c>
      <c r="N216" s="2">
        <v>45377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74</v>
      </c>
      <c r="U216">
        <v>64</v>
      </c>
      <c r="W216">
        <v>4</v>
      </c>
    </row>
    <row r="217" spans="1:25">
      <c r="A217" s="1" t="s">
        <v>286</v>
      </c>
      <c r="B217" t="s">
        <v>70</v>
      </c>
      <c r="C217" t="s">
        <v>71</v>
      </c>
      <c r="D217" t="s">
        <v>44</v>
      </c>
      <c r="E217" t="s">
        <v>54</v>
      </c>
      <c r="F217" t="s">
        <v>76</v>
      </c>
      <c r="G217" t="s">
        <v>31</v>
      </c>
      <c r="H217" t="s">
        <v>32</v>
      </c>
      <c r="I217" t="s">
        <v>33</v>
      </c>
      <c r="J217" s="2">
        <v>45436</v>
      </c>
      <c r="K217" s="2">
        <v>45439</v>
      </c>
      <c r="L217" s="2">
        <v>45442</v>
      </c>
      <c r="M217" s="2">
        <v>45448</v>
      </c>
      <c r="N217" s="2">
        <v>45470</v>
      </c>
      <c r="O217">
        <v>1</v>
      </c>
      <c r="P217">
        <v>0</v>
      </c>
      <c r="Q217">
        <v>0</v>
      </c>
      <c r="R217">
        <v>0</v>
      </c>
      <c r="S217">
        <v>0</v>
      </c>
      <c r="T217" t="s">
        <v>34</v>
      </c>
      <c r="U217">
        <v>47</v>
      </c>
      <c r="W217">
        <v>7</v>
      </c>
    </row>
    <row r="218" spans="1:25">
      <c r="A218" s="1" t="s">
        <v>287</v>
      </c>
      <c r="B218" t="s">
        <v>90</v>
      </c>
      <c r="C218" t="s">
        <v>37</v>
      </c>
      <c r="D218" t="s">
        <v>28</v>
      </c>
      <c r="E218" t="s">
        <v>54</v>
      </c>
      <c r="F218" t="s">
        <v>67</v>
      </c>
      <c r="G218" t="s">
        <v>31</v>
      </c>
      <c r="H218" t="s">
        <v>32</v>
      </c>
      <c r="I218" t="s">
        <v>41</v>
      </c>
      <c r="J218" s="2">
        <v>45308</v>
      </c>
      <c r="K218" s="2">
        <v>45309</v>
      </c>
      <c r="L218" s="2">
        <v>45312</v>
      </c>
      <c r="M218" s="2">
        <v>45317</v>
      </c>
      <c r="N218" s="2">
        <v>45329</v>
      </c>
      <c r="O218">
        <v>1</v>
      </c>
      <c r="P218">
        <v>1</v>
      </c>
      <c r="Q218">
        <v>1</v>
      </c>
      <c r="R218">
        <v>1</v>
      </c>
      <c r="S218">
        <v>0</v>
      </c>
      <c r="T218" t="s">
        <v>61</v>
      </c>
      <c r="U218">
        <v>73</v>
      </c>
      <c r="V218">
        <v>21</v>
      </c>
      <c r="W218">
        <v>4</v>
      </c>
      <c r="X218">
        <v>789369</v>
      </c>
    </row>
    <row r="219" spans="1:25">
      <c r="A219" s="1" t="s">
        <v>288</v>
      </c>
      <c r="B219" t="s">
        <v>70</v>
      </c>
      <c r="C219" t="s">
        <v>71</v>
      </c>
      <c r="D219" t="s">
        <v>28</v>
      </c>
      <c r="E219" t="s">
        <v>102</v>
      </c>
      <c r="F219" t="s">
        <v>48</v>
      </c>
      <c r="G219" t="s">
        <v>55</v>
      </c>
      <c r="H219" t="s">
        <v>56</v>
      </c>
      <c r="I219" t="s">
        <v>41</v>
      </c>
      <c r="J219" s="2">
        <v>45330</v>
      </c>
      <c r="K219" s="2">
        <v>45333</v>
      </c>
      <c r="L219" s="2">
        <v>45338</v>
      </c>
      <c r="M219" s="2">
        <v>45340</v>
      </c>
      <c r="N219" s="2">
        <v>45361</v>
      </c>
      <c r="O219">
        <v>1</v>
      </c>
      <c r="P219">
        <v>1</v>
      </c>
      <c r="Q219">
        <v>0</v>
      </c>
      <c r="R219">
        <v>0</v>
      </c>
      <c r="S219">
        <v>0</v>
      </c>
      <c r="T219" t="s">
        <v>34</v>
      </c>
      <c r="U219">
        <v>78</v>
      </c>
      <c r="W219">
        <v>7</v>
      </c>
    </row>
    <row r="220" spans="1:25">
      <c r="A220" s="1" t="s">
        <v>289</v>
      </c>
      <c r="B220" t="s">
        <v>43</v>
      </c>
      <c r="C220" t="s">
        <v>47</v>
      </c>
      <c r="D220" t="s">
        <v>73</v>
      </c>
      <c r="E220" t="s">
        <v>66</v>
      </c>
      <c r="F220" t="s">
        <v>48</v>
      </c>
      <c r="G220" t="s">
        <v>60</v>
      </c>
      <c r="H220" t="s">
        <v>56</v>
      </c>
      <c r="I220" t="s">
        <v>41</v>
      </c>
      <c r="J220" s="2">
        <v>45015</v>
      </c>
      <c r="K220" s="2">
        <v>45018</v>
      </c>
      <c r="L220" s="2">
        <v>45022</v>
      </c>
      <c r="M220" s="2">
        <v>45026</v>
      </c>
      <c r="N220" s="2">
        <v>45042</v>
      </c>
      <c r="O220">
        <v>1</v>
      </c>
      <c r="P220">
        <v>1</v>
      </c>
      <c r="Q220">
        <v>1</v>
      </c>
      <c r="R220">
        <v>1</v>
      </c>
      <c r="S220">
        <v>0</v>
      </c>
      <c r="T220" t="s">
        <v>61</v>
      </c>
      <c r="U220">
        <v>98</v>
      </c>
      <c r="V220">
        <v>27</v>
      </c>
      <c r="W220">
        <v>9</v>
      </c>
      <c r="X220">
        <v>3187112</v>
      </c>
    </row>
    <row r="221" spans="1:25">
      <c r="A221" s="1" t="s">
        <v>290</v>
      </c>
      <c r="B221" t="s">
        <v>58</v>
      </c>
      <c r="C221" t="s">
        <v>37</v>
      </c>
      <c r="D221" t="s">
        <v>44</v>
      </c>
      <c r="E221" t="s">
        <v>66</v>
      </c>
      <c r="F221" t="s">
        <v>64</v>
      </c>
      <c r="G221" t="s">
        <v>60</v>
      </c>
      <c r="H221" t="s">
        <v>40</v>
      </c>
      <c r="I221" t="s">
        <v>33</v>
      </c>
      <c r="J221" s="2">
        <v>45259</v>
      </c>
      <c r="K221" s="2">
        <v>45260</v>
      </c>
      <c r="L221" s="2">
        <v>45267</v>
      </c>
      <c r="M221" s="2">
        <v>45271</v>
      </c>
      <c r="N221" s="2">
        <v>45271</v>
      </c>
      <c r="O221">
        <v>1</v>
      </c>
      <c r="P221">
        <v>1</v>
      </c>
      <c r="Q221">
        <v>1</v>
      </c>
      <c r="R221">
        <v>0</v>
      </c>
      <c r="S221">
        <v>0</v>
      </c>
      <c r="T221" t="s">
        <v>49</v>
      </c>
      <c r="U221">
        <v>82</v>
      </c>
      <c r="W221">
        <v>1</v>
      </c>
      <c r="X221">
        <v>515777</v>
      </c>
      <c r="Y221" t="s">
        <v>80</v>
      </c>
    </row>
    <row r="222" spans="1:25">
      <c r="A222" s="1" t="s">
        <v>291</v>
      </c>
      <c r="B222" t="s">
        <v>26</v>
      </c>
      <c r="C222" t="s">
        <v>27</v>
      </c>
      <c r="D222" t="s">
        <v>44</v>
      </c>
      <c r="E222" t="s">
        <v>102</v>
      </c>
      <c r="F222" t="s">
        <v>30</v>
      </c>
      <c r="G222" t="s">
        <v>39</v>
      </c>
      <c r="H222" t="s">
        <v>56</v>
      </c>
      <c r="I222" t="s">
        <v>33</v>
      </c>
      <c r="J222" s="2">
        <v>45228</v>
      </c>
      <c r="K222" s="2">
        <v>45230</v>
      </c>
      <c r="L222" s="2">
        <v>45234</v>
      </c>
      <c r="M222" s="2">
        <v>45241</v>
      </c>
      <c r="N222" s="2">
        <v>45247</v>
      </c>
      <c r="O222">
        <v>0</v>
      </c>
      <c r="P222">
        <v>0</v>
      </c>
      <c r="Q222">
        <v>0</v>
      </c>
      <c r="R222">
        <v>0</v>
      </c>
      <c r="S222">
        <v>1</v>
      </c>
      <c r="T222" t="s">
        <v>74</v>
      </c>
      <c r="U222">
        <v>47</v>
      </c>
      <c r="W222">
        <v>2</v>
      </c>
    </row>
    <row r="223" spans="1:25">
      <c r="A223" s="1" t="s">
        <v>292</v>
      </c>
      <c r="B223" t="s">
        <v>36</v>
      </c>
      <c r="C223" t="s">
        <v>37</v>
      </c>
      <c r="D223" t="s">
        <v>52</v>
      </c>
      <c r="E223" t="s">
        <v>66</v>
      </c>
      <c r="F223" t="s">
        <v>76</v>
      </c>
      <c r="G223" t="s">
        <v>45</v>
      </c>
      <c r="H223" t="s">
        <v>40</v>
      </c>
      <c r="I223" t="s">
        <v>41</v>
      </c>
      <c r="J223" s="2">
        <v>44969</v>
      </c>
      <c r="K223" s="2">
        <v>44974</v>
      </c>
      <c r="L223" s="2">
        <v>44978</v>
      </c>
      <c r="M223" s="2">
        <v>44982</v>
      </c>
      <c r="N223" s="2">
        <v>44999</v>
      </c>
      <c r="O223">
        <v>1</v>
      </c>
      <c r="P223">
        <v>1</v>
      </c>
      <c r="Q223">
        <v>1</v>
      </c>
      <c r="R223">
        <v>0</v>
      </c>
      <c r="S223">
        <v>0</v>
      </c>
      <c r="T223" t="s">
        <v>49</v>
      </c>
      <c r="U223">
        <v>85</v>
      </c>
      <c r="W223">
        <v>3</v>
      </c>
      <c r="X223">
        <v>680102</v>
      </c>
      <c r="Y223" t="s">
        <v>127</v>
      </c>
    </row>
    <row r="224" spans="1:25">
      <c r="A224" s="1" t="s">
        <v>293</v>
      </c>
      <c r="B224" t="s">
        <v>26</v>
      </c>
      <c r="C224" t="s">
        <v>27</v>
      </c>
      <c r="D224" t="s">
        <v>59</v>
      </c>
      <c r="E224" t="s">
        <v>63</v>
      </c>
      <c r="F224" t="s">
        <v>38</v>
      </c>
      <c r="G224" t="s">
        <v>55</v>
      </c>
      <c r="H224" t="s">
        <v>56</v>
      </c>
      <c r="I224" t="s">
        <v>41</v>
      </c>
      <c r="J224" s="2">
        <v>44995</v>
      </c>
      <c r="K224" s="2">
        <v>44997</v>
      </c>
      <c r="L224" s="2">
        <v>45006</v>
      </c>
      <c r="M224" s="2">
        <v>45008</v>
      </c>
      <c r="N224" s="2">
        <v>45019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74</v>
      </c>
      <c r="U224">
        <v>78</v>
      </c>
      <c r="W224">
        <v>2</v>
      </c>
    </row>
    <row r="225" spans="1:25">
      <c r="A225" s="1" t="s">
        <v>294</v>
      </c>
      <c r="B225" t="s">
        <v>90</v>
      </c>
      <c r="C225" t="s">
        <v>78</v>
      </c>
      <c r="D225" t="s">
        <v>59</v>
      </c>
      <c r="E225" t="s">
        <v>54</v>
      </c>
      <c r="F225" t="s">
        <v>38</v>
      </c>
      <c r="G225" t="s">
        <v>39</v>
      </c>
      <c r="H225" t="s">
        <v>32</v>
      </c>
      <c r="I225" t="s">
        <v>33</v>
      </c>
      <c r="J225" s="2">
        <v>45076</v>
      </c>
      <c r="K225" s="2">
        <v>45079</v>
      </c>
      <c r="L225" s="2">
        <v>45089</v>
      </c>
      <c r="M225" s="2">
        <v>45091</v>
      </c>
      <c r="N225" s="2">
        <v>45107</v>
      </c>
      <c r="O225">
        <v>1</v>
      </c>
      <c r="P225">
        <v>1</v>
      </c>
      <c r="Q225">
        <v>0</v>
      </c>
      <c r="R225">
        <v>0</v>
      </c>
      <c r="S225">
        <v>1</v>
      </c>
      <c r="T225" t="s">
        <v>34</v>
      </c>
      <c r="U225">
        <v>57</v>
      </c>
      <c r="W225">
        <v>10</v>
      </c>
    </row>
    <row r="226" spans="1:25">
      <c r="A226" s="1" t="s">
        <v>295</v>
      </c>
      <c r="B226" t="s">
        <v>58</v>
      </c>
      <c r="C226" t="s">
        <v>78</v>
      </c>
      <c r="D226" t="s">
        <v>73</v>
      </c>
      <c r="E226" t="s">
        <v>102</v>
      </c>
      <c r="F226" t="s">
        <v>30</v>
      </c>
      <c r="G226" t="s">
        <v>60</v>
      </c>
      <c r="H226" t="s">
        <v>32</v>
      </c>
      <c r="I226" t="s">
        <v>33</v>
      </c>
      <c r="J226" s="2">
        <v>45064</v>
      </c>
      <c r="K226" s="2">
        <v>45065</v>
      </c>
      <c r="L226" s="2">
        <v>45070</v>
      </c>
      <c r="M226" s="2">
        <v>45074</v>
      </c>
      <c r="N226" s="2">
        <v>45086</v>
      </c>
      <c r="O226">
        <v>1</v>
      </c>
      <c r="P226">
        <v>1</v>
      </c>
      <c r="Q226">
        <v>0</v>
      </c>
      <c r="R226">
        <v>0</v>
      </c>
      <c r="S226">
        <v>0</v>
      </c>
      <c r="T226" t="s">
        <v>34</v>
      </c>
      <c r="U226">
        <v>99</v>
      </c>
      <c r="W226">
        <v>7</v>
      </c>
    </row>
    <row r="227" spans="1:25">
      <c r="A227" s="1" t="s">
        <v>296</v>
      </c>
      <c r="B227" t="s">
        <v>70</v>
      </c>
      <c r="C227" t="s">
        <v>47</v>
      </c>
      <c r="D227" t="s">
        <v>44</v>
      </c>
      <c r="E227" t="s">
        <v>63</v>
      </c>
      <c r="F227" t="s">
        <v>38</v>
      </c>
      <c r="G227" t="s">
        <v>31</v>
      </c>
      <c r="H227" t="s">
        <v>56</v>
      </c>
      <c r="I227" t="s">
        <v>33</v>
      </c>
      <c r="J227" s="2">
        <v>44947</v>
      </c>
      <c r="K227" s="2">
        <v>44952</v>
      </c>
      <c r="L227" s="2">
        <v>44955</v>
      </c>
      <c r="M227" s="2">
        <v>44958</v>
      </c>
      <c r="N227" s="2">
        <v>44970</v>
      </c>
      <c r="O227">
        <v>1</v>
      </c>
      <c r="P227">
        <v>1</v>
      </c>
      <c r="Q227">
        <v>1</v>
      </c>
      <c r="R227">
        <v>0</v>
      </c>
      <c r="S227">
        <v>0</v>
      </c>
      <c r="T227" t="s">
        <v>49</v>
      </c>
      <c r="U227">
        <v>90</v>
      </c>
      <c r="W227">
        <v>9</v>
      </c>
      <c r="X227">
        <v>1887939</v>
      </c>
      <c r="Y227" t="s">
        <v>87</v>
      </c>
    </row>
    <row r="228" spans="1:25">
      <c r="A228" s="1" t="s">
        <v>297</v>
      </c>
      <c r="B228" t="s">
        <v>70</v>
      </c>
      <c r="C228" t="s">
        <v>27</v>
      </c>
      <c r="D228" t="s">
        <v>73</v>
      </c>
      <c r="E228" t="s">
        <v>66</v>
      </c>
      <c r="F228" t="s">
        <v>30</v>
      </c>
      <c r="G228" t="s">
        <v>45</v>
      </c>
      <c r="H228" t="s">
        <v>56</v>
      </c>
      <c r="I228" t="s">
        <v>33</v>
      </c>
      <c r="J228" s="2">
        <v>45198</v>
      </c>
      <c r="K228" s="2">
        <v>45199</v>
      </c>
      <c r="L228" s="2">
        <v>45202</v>
      </c>
      <c r="M228" s="2">
        <v>45208</v>
      </c>
      <c r="N228" s="2">
        <v>45221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74</v>
      </c>
      <c r="U228">
        <v>48</v>
      </c>
      <c r="W228">
        <v>2</v>
      </c>
    </row>
    <row r="229" spans="1:25">
      <c r="A229" s="1" t="s">
        <v>298</v>
      </c>
      <c r="B229" t="s">
        <v>90</v>
      </c>
      <c r="C229" t="s">
        <v>71</v>
      </c>
      <c r="D229" t="s">
        <v>52</v>
      </c>
      <c r="E229" t="s">
        <v>66</v>
      </c>
      <c r="F229" t="s">
        <v>30</v>
      </c>
      <c r="G229" t="s">
        <v>31</v>
      </c>
      <c r="H229" t="s">
        <v>40</v>
      </c>
      <c r="I229" t="s">
        <v>41</v>
      </c>
      <c r="J229" s="2">
        <v>45379</v>
      </c>
      <c r="K229" s="2">
        <v>45380</v>
      </c>
      <c r="L229" s="2">
        <v>45390</v>
      </c>
      <c r="M229" s="2">
        <v>45393</v>
      </c>
      <c r="N229" s="2">
        <v>45410</v>
      </c>
      <c r="O229">
        <v>1</v>
      </c>
      <c r="P229">
        <v>1</v>
      </c>
      <c r="Q229">
        <v>1</v>
      </c>
      <c r="R229">
        <v>0</v>
      </c>
      <c r="S229">
        <v>0</v>
      </c>
      <c r="T229" t="s">
        <v>49</v>
      </c>
      <c r="U229">
        <v>96</v>
      </c>
      <c r="W229">
        <v>5</v>
      </c>
      <c r="X229">
        <v>886820</v>
      </c>
      <c r="Y229" t="s">
        <v>50</v>
      </c>
    </row>
    <row r="230" spans="1:25">
      <c r="A230" s="1" t="s">
        <v>299</v>
      </c>
      <c r="B230" t="s">
        <v>43</v>
      </c>
      <c r="C230" t="s">
        <v>78</v>
      </c>
      <c r="D230" t="s">
        <v>28</v>
      </c>
      <c r="E230" t="s">
        <v>66</v>
      </c>
      <c r="F230" t="s">
        <v>38</v>
      </c>
      <c r="G230" t="s">
        <v>45</v>
      </c>
      <c r="H230" t="s">
        <v>40</v>
      </c>
      <c r="I230" t="s">
        <v>41</v>
      </c>
      <c r="J230" s="2">
        <v>45285</v>
      </c>
      <c r="K230" s="2">
        <v>45288</v>
      </c>
      <c r="L230" s="2">
        <v>45295</v>
      </c>
      <c r="M230" s="2">
        <v>45297</v>
      </c>
      <c r="N230" s="2">
        <v>45304</v>
      </c>
      <c r="O230">
        <v>1</v>
      </c>
      <c r="P230">
        <v>1</v>
      </c>
      <c r="Q230">
        <v>1</v>
      </c>
      <c r="R230">
        <v>0</v>
      </c>
      <c r="S230">
        <v>0</v>
      </c>
      <c r="T230" t="s">
        <v>49</v>
      </c>
      <c r="U230">
        <v>99</v>
      </c>
      <c r="W230">
        <v>8</v>
      </c>
      <c r="X230">
        <v>2176784</v>
      </c>
      <c r="Y230" t="s">
        <v>80</v>
      </c>
    </row>
    <row r="231" spans="1:25">
      <c r="A231" s="1" t="s">
        <v>300</v>
      </c>
      <c r="B231" t="s">
        <v>70</v>
      </c>
      <c r="C231" t="s">
        <v>71</v>
      </c>
      <c r="D231" t="s">
        <v>73</v>
      </c>
      <c r="E231" t="s">
        <v>66</v>
      </c>
      <c r="F231" t="s">
        <v>48</v>
      </c>
      <c r="G231" t="s">
        <v>31</v>
      </c>
      <c r="H231" t="s">
        <v>40</v>
      </c>
      <c r="I231" t="s">
        <v>41</v>
      </c>
      <c r="J231" s="2">
        <v>45445</v>
      </c>
      <c r="K231" s="2">
        <v>45449</v>
      </c>
      <c r="L231" s="2">
        <v>45459</v>
      </c>
      <c r="M231" s="2">
        <v>45461</v>
      </c>
      <c r="N231" s="2">
        <v>45484</v>
      </c>
      <c r="O231">
        <v>1</v>
      </c>
      <c r="P231">
        <v>0</v>
      </c>
      <c r="Q231">
        <v>0</v>
      </c>
      <c r="R231">
        <v>0</v>
      </c>
      <c r="S231">
        <v>0</v>
      </c>
      <c r="T231" t="s">
        <v>34</v>
      </c>
      <c r="U231">
        <v>46</v>
      </c>
      <c r="W231">
        <v>5</v>
      </c>
    </row>
    <row r="232" spans="1:25">
      <c r="A232" s="1" t="s">
        <v>301</v>
      </c>
      <c r="B232" t="s">
        <v>90</v>
      </c>
      <c r="C232" t="s">
        <v>47</v>
      </c>
      <c r="D232" t="s">
        <v>59</v>
      </c>
      <c r="E232" t="s">
        <v>54</v>
      </c>
      <c r="F232" t="s">
        <v>30</v>
      </c>
      <c r="G232" t="s">
        <v>39</v>
      </c>
      <c r="H232" t="s">
        <v>40</v>
      </c>
      <c r="I232" t="s">
        <v>41</v>
      </c>
      <c r="J232" s="2">
        <v>45259</v>
      </c>
      <c r="K232" s="2">
        <v>45263</v>
      </c>
      <c r="L232" s="2">
        <v>45268</v>
      </c>
      <c r="M232" s="2">
        <v>45273</v>
      </c>
      <c r="N232" s="2">
        <v>45293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74</v>
      </c>
      <c r="U232">
        <v>81</v>
      </c>
      <c r="W232">
        <v>11</v>
      </c>
    </row>
    <row r="233" spans="1:25">
      <c r="A233" s="1" t="s">
        <v>302</v>
      </c>
      <c r="B233" t="s">
        <v>70</v>
      </c>
      <c r="C233" t="s">
        <v>71</v>
      </c>
      <c r="D233" t="s">
        <v>59</v>
      </c>
      <c r="E233" t="s">
        <v>66</v>
      </c>
      <c r="F233" t="s">
        <v>38</v>
      </c>
      <c r="G233" t="s">
        <v>55</v>
      </c>
      <c r="H233" t="s">
        <v>40</v>
      </c>
      <c r="I233" t="s">
        <v>41</v>
      </c>
      <c r="J233" s="2">
        <v>45318</v>
      </c>
      <c r="K233" s="2">
        <v>45323</v>
      </c>
      <c r="L233" s="2">
        <v>45326</v>
      </c>
      <c r="M233" s="2">
        <v>45333</v>
      </c>
      <c r="N233" s="2">
        <v>45351</v>
      </c>
      <c r="O233">
        <v>1</v>
      </c>
      <c r="P233">
        <v>0</v>
      </c>
      <c r="Q233">
        <v>0</v>
      </c>
      <c r="R233">
        <v>0</v>
      </c>
      <c r="S233">
        <v>0</v>
      </c>
      <c r="T233" t="s">
        <v>34</v>
      </c>
      <c r="U233">
        <v>56</v>
      </c>
      <c r="W233">
        <v>5</v>
      </c>
    </row>
    <row r="234" spans="1:25">
      <c r="A234" s="1" t="s">
        <v>303</v>
      </c>
      <c r="B234" t="s">
        <v>43</v>
      </c>
      <c r="C234" t="s">
        <v>37</v>
      </c>
      <c r="D234" t="s">
        <v>28</v>
      </c>
      <c r="E234" t="s">
        <v>66</v>
      </c>
      <c r="F234" t="s">
        <v>67</v>
      </c>
      <c r="G234" t="s">
        <v>39</v>
      </c>
      <c r="H234" t="s">
        <v>56</v>
      </c>
      <c r="I234" t="s">
        <v>41</v>
      </c>
      <c r="J234" s="2">
        <v>45291</v>
      </c>
      <c r="K234" s="2">
        <v>45293</v>
      </c>
      <c r="L234" s="2">
        <v>45301</v>
      </c>
      <c r="M234" s="2">
        <v>45307</v>
      </c>
      <c r="N234" s="2">
        <v>45314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74</v>
      </c>
      <c r="U234">
        <v>49</v>
      </c>
      <c r="W234">
        <v>2</v>
      </c>
    </row>
    <row r="235" spans="1:25">
      <c r="A235" s="1" t="s">
        <v>304</v>
      </c>
      <c r="B235" t="s">
        <v>70</v>
      </c>
      <c r="C235" t="s">
        <v>71</v>
      </c>
      <c r="D235" t="s">
        <v>52</v>
      </c>
      <c r="E235" t="s">
        <v>66</v>
      </c>
      <c r="F235" t="s">
        <v>48</v>
      </c>
      <c r="G235" t="s">
        <v>31</v>
      </c>
      <c r="H235" t="s">
        <v>32</v>
      </c>
      <c r="I235" t="s">
        <v>41</v>
      </c>
      <c r="J235" s="2">
        <v>45131</v>
      </c>
      <c r="K235" s="2">
        <v>45132</v>
      </c>
      <c r="L235" s="2">
        <v>45139</v>
      </c>
      <c r="M235" s="2">
        <v>45141</v>
      </c>
      <c r="N235" s="2">
        <v>45165</v>
      </c>
      <c r="O235">
        <v>1</v>
      </c>
      <c r="P235">
        <v>0</v>
      </c>
      <c r="Q235">
        <v>0</v>
      </c>
      <c r="R235">
        <v>0</v>
      </c>
      <c r="S235">
        <v>0</v>
      </c>
      <c r="T235" t="s">
        <v>34</v>
      </c>
      <c r="U235">
        <v>63</v>
      </c>
      <c r="W235">
        <v>6</v>
      </c>
    </row>
    <row r="236" spans="1:25">
      <c r="A236" s="1" t="s">
        <v>305</v>
      </c>
      <c r="B236" t="s">
        <v>26</v>
      </c>
      <c r="C236" t="s">
        <v>47</v>
      </c>
      <c r="D236" t="s">
        <v>28</v>
      </c>
      <c r="E236" t="s">
        <v>102</v>
      </c>
      <c r="F236" t="s">
        <v>64</v>
      </c>
      <c r="G236" t="s">
        <v>31</v>
      </c>
      <c r="H236" t="s">
        <v>32</v>
      </c>
      <c r="I236" t="s">
        <v>33</v>
      </c>
      <c r="J236" s="2">
        <v>45002</v>
      </c>
      <c r="K236" s="2">
        <v>45006</v>
      </c>
      <c r="L236" s="2">
        <v>45013</v>
      </c>
      <c r="M236" s="2">
        <v>45017</v>
      </c>
      <c r="N236" s="2">
        <v>45015</v>
      </c>
      <c r="O236">
        <v>1</v>
      </c>
      <c r="P236">
        <v>1</v>
      </c>
      <c r="Q236">
        <v>1</v>
      </c>
      <c r="R236">
        <v>1</v>
      </c>
      <c r="S236">
        <v>0</v>
      </c>
      <c r="T236" t="s">
        <v>61</v>
      </c>
      <c r="U236">
        <v>76</v>
      </c>
      <c r="V236">
        <v>13</v>
      </c>
      <c r="W236">
        <v>10</v>
      </c>
      <c r="X236">
        <v>2219424</v>
      </c>
    </row>
    <row r="237" spans="1:25">
      <c r="A237" s="1" t="s">
        <v>306</v>
      </c>
      <c r="B237" t="s">
        <v>43</v>
      </c>
      <c r="C237" t="s">
        <v>71</v>
      </c>
      <c r="D237" t="s">
        <v>52</v>
      </c>
      <c r="E237" t="s">
        <v>63</v>
      </c>
      <c r="F237" t="s">
        <v>38</v>
      </c>
      <c r="G237" t="s">
        <v>60</v>
      </c>
      <c r="H237" t="s">
        <v>40</v>
      </c>
      <c r="I237" t="s">
        <v>41</v>
      </c>
      <c r="J237" s="2">
        <v>45377</v>
      </c>
      <c r="K237" s="2">
        <v>45380</v>
      </c>
      <c r="L237" s="2">
        <v>45387</v>
      </c>
      <c r="M237" s="2">
        <v>45394</v>
      </c>
      <c r="N237" s="2">
        <v>45404</v>
      </c>
      <c r="O237">
        <v>1</v>
      </c>
      <c r="P237">
        <v>0</v>
      </c>
      <c r="Q237">
        <v>0</v>
      </c>
      <c r="R237">
        <v>0</v>
      </c>
      <c r="S237">
        <v>0</v>
      </c>
      <c r="T237" t="s">
        <v>34</v>
      </c>
      <c r="U237">
        <v>49</v>
      </c>
      <c r="W237">
        <v>5</v>
      </c>
    </row>
    <row r="238" spans="1:25">
      <c r="A238" s="1" t="s">
        <v>307</v>
      </c>
      <c r="B238" t="s">
        <v>70</v>
      </c>
      <c r="C238" t="s">
        <v>78</v>
      </c>
      <c r="D238" t="s">
        <v>44</v>
      </c>
      <c r="E238" t="s">
        <v>29</v>
      </c>
      <c r="F238" t="s">
        <v>76</v>
      </c>
      <c r="G238" t="s">
        <v>45</v>
      </c>
      <c r="H238" t="s">
        <v>40</v>
      </c>
      <c r="I238" t="s">
        <v>41</v>
      </c>
      <c r="J238" s="2">
        <v>45000</v>
      </c>
      <c r="K238" s="2">
        <v>45005</v>
      </c>
      <c r="L238" s="2">
        <v>45010</v>
      </c>
      <c r="M238" s="2">
        <v>45012</v>
      </c>
      <c r="N238" s="2">
        <v>45020</v>
      </c>
      <c r="O238">
        <v>1</v>
      </c>
      <c r="P238">
        <v>0</v>
      </c>
      <c r="Q238">
        <v>0</v>
      </c>
      <c r="R238">
        <v>0</v>
      </c>
      <c r="S238">
        <v>0</v>
      </c>
      <c r="T238" t="s">
        <v>34</v>
      </c>
      <c r="U238">
        <v>52</v>
      </c>
      <c r="W238">
        <v>9</v>
      </c>
    </row>
    <row r="239" spans="1:25">
      <c r="A239" s="1" t="s">
        <v>308</v>
      </c>
      <c r="B239" t="s">
        <v>70</v>
      </c>
      <c r="C239" t="s">
        <v>27</v>
      </c>
      <c r="D239" t="s">
        <v>59</v>
      </c>
      <c r="E239" t="s">
        <v>29</v>
      </c>
      <c r="F239" t="s">
        <v>67</v>
      </c>
      <c r="G239" t="s">
        <v>39</v>
      </c>
      <c r="H239" t="s">
        <v>32</v>
      </c>
      <c r="I239" t="s">
        <v>33</v>
      </c>
      <c r="J239" s="2">
        <v>45290</v>
      </c>
      <c r="K239" s="2">
        <v>45292</v>
      </c>
      <c r="L239" s="2">
        <v>45298</v>
      </c>
      <c r="M239" s="2">
        <v>45300</v>
      </c>
      <c r="N239" s="2">
        <v>45320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74</v>
      </c>
      <c r="U239">
        <v>62</v>
      </c>
      <c r="W239">
        <v>2</v>
      </c>
    </row>
    <row r="240" spans="1:25">
      <c r="A240" s="1" t="s">
        <v>309</v>
      </c>
      <c r="B240" t="s">
        <v>43</v>
      </c>
      <c r="C240" t="s">
        <v>78</v>
      </c>
      <c r="D240" t="s">
        <v>73</v>
      </c>
      <c r="E240" t="s">
        <v>54</v>
      </c>
      <c r="F240" t="s">
        <v>64</v>
      </c>
      <c r="G240" t="s">
        <v>55</v>
      </c>
      <c r="H240" t="s">
        <v>56</v>
      </c>
      <c r="I240" t="s">
        <v>33</v>
      </c>
      <c r="J240" s="2">
        <v>45405</v>
      </c>
      <c r="K240" s="2">
        <v>45407</v>
      </c>
      <c r="L240" s="2">
        <v>45414</v>
      </c>
      <c r="M240" s="2">
        <v>45421</v>
      </c>
      <c r="N240" s="2">
        <v>45425</v>
      </c>
      <c r="O240">
        <v>1</v>
      </c>
      <c r="P240">
        <v>0</v>
      </c>
      <c r="Q240">
        <v>0</v>
      </c>
      <c r="R240">
        <v>0</v>
      </c>
      <c r="S240">
        <v>0</v>
      </c>
      <c r="T240" t="s">
        <v>34</v>
      </c>
      <c r="U240">
        <v>72</v>
      </c>
      <c r="W240">
        <v>10</v>
      </c>
    </row>
    <row r="241" spans="1:25">
      <c r="A241" s="1" t="s">
        <v>310</v>
      </c>
      <c r="B241" t="s">
        <v>90</v>
      </c>
      <c r="C241" t="s">
        <v>71</v>
      </c>
      <c r="D241" t="s">
        <v>28</v>
      </c>
      <c r="E241" t="s">
        <v>63</v>
      </c>
      <c r="F241" t="s">
        <v>67</v>
      </c>
      <c r="G241" t="s">
        <v>60</v>
      </c>
      <c r="H241" t="s">
        <v>56</v>
      </c>
      <c r="I241" t="s">
        <v>33</v>
      </c>
      <c r="J241" s="2">
        <v>45129</v>
      </c>
      <c r="K241" s="2">
        <v>45132</v>
      </c>
      <c r="L241" s="2">
        <v>45140</v>
      </c>
      <c r="M241" s="2">
        <v>45143</v>
      </c>
      <c r="N241" s="2">
        <v>45152</v>
      </c>
      <c r="O241">
        <v>1</v>
      </c>
      <c r="P241">
        <v>1</v>
      </c>
      <c r="Q241">
        <v>1</v>
      </c>
      <c r="R241">
        <v>0</v>
      </c>
      <c r="S241">
        <v>0</v>
      </c>
      <c r="T241" t="s">
        <v>49</v>
      </c>
      <c r="U241">
        <v>77</v>
      </c>
      <c r="W241">
        <v>7</v>
      </c>
      <c r="X241">
        <v>1026454</v>
      </c>
      <c r="Y241" t="s">
        <v>80</v>
      </c>
    </row>
    <row r="242" spans="1:25">
      <c r="A242" s="1" t="s">
        <v>311</v>
      </c>
      <c r="B242" t="s">
        <v>26</v>
      </c>
      <c r="C242" t="s">
        <v>47</v>
      </c>
      <c r="D242" t="s">
        <v>28</v>
      </c>
      <c r="E242" t="s">
        <v>102</v>
      </c>
      <c r="F242" t="s">
        <v>64</v>
      </c>
      <c r="G242" t="s">
        <v>60</v>
      </c>
      <c r="H242" t="s">
        <v>56</v>
      </c>
      <c r="I242" t="s">
        <v>41</v>
      </c>
      <c r="J242" s="2">
        <v>45173</v>
      </c>
      <c r="K242" s="2">
        <v>45178</v>
      </c>
      <c r="L242" s="2">
        <v>45185</v>
      </c>
      <c r="M242" s="2">
        <v>45192</v>
      </c>
      <c r="N242" s="2">
        <v>45185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74</v>
      </c>
      <c r="U242">
        <v>73</v>
      </c>
      <c r="W242">
        <v>8</v>
      </c>
    </row>
    <row r="243" spans="1:25">
      <c r="A243" s="1" t="s">
        <v>312</v>
      </c>
      <c r="B243" t="s">
        <v>58</v>
      </c>
      <c r="C243" t="s">
        <v>47</v>
      </c>
      <c r="D243" t="s">
        <v>59</v>
      </c>
      <c r="E243" t="s">
        <v>66</v>
      </c>
      <c r="F243" t="s">
        <v>64</v>
      </c>
      <c r="G243" t="s">
        <v>55</v>
      </c>
      <c r="H243" t="s">
        <v>40</v>
      </c>
      <c r="I243" t="s">
        <v>33</v>
      </c>
      <c r="J243" s="2">
        <v>44936</v>
      </c>
      <c r="K243" s="2">
        <v>44938</v>
      </c>
      <c r="L243" s="2">
        <v>44945</v>
      </c>
      <c r="M243" s="2">
        <v>44948</v>
      </c>
      <c r="N243" s="2">
        <v>44957</v>
      </c>
      <c r="O243">
        <v>1</v>
      </c>
      <c r="P243">
        <v>1</v>
      </c>
      <c r="Q243">
        <v>0</v>
      </c>
      <c r="R243">
        <v>0</v>
      </c>
      <c r="S243">
        <v>0</v>
      </c>
      <c r="T243" t="s">
        <v>34</v>
      </c>
      <c r="U243">
        <v>94</v>
      </c>
      <c r="W243">
        <v>9</v>
      </c>
    </row>
    <row r="244" spans="1:25">
      <c r="A244" s="1" t="s">
        <v>313</v>
      </c>
      <c r="B244" t="s">
        <v>26</v>
      </c>
      <c r="C244" t="s">
        <v>37</v>
      </c>
      <c r="D244" t="s">
        <v>52</v>
      </c>
      <c r="E244" t="s">
        <v>54</v>
      </c>
      <c r="F244" t="s">
        <v>76</v>
      </c>
      <c r="G244" t="s">
        <v>55</v>
      </c>
      <c r="H244" t="s">
        <v>56</v>
      </c>
      <c r="I244" t="s">
        <v>41</v>
      </c>
      <c r="J244" s="2">
        <v>44972</v>
      </c>
      <c r="K244" s="2">
        <v>44976</v>
      </c>
      <c r="L244" s="2">
        <v>44985</v>
      </c>
      <c r="M244" s="2">
        <v>44988</v>
      </c>
      <c r="N244" s="2">
        <v>44984</v>
      </c>
      <c r="O244">
        <v>1</v>
      </c>
      <c r="P244">
        <v>1</v>
      </c>
      <c r="Q244">
        <v>1</v>
      </c>
      <c r="R244">
        <v>0</v>
      </c>
      <c r="S244">
        <v>0</v>
      </c>
      <c r="T244" t="s">
        <v>49</v>
      </c>
      <c r="U244">
        <v>75</v>
      </c>
      <c r="W244">
        <v>1</v>
      </c>
      <c r="X244">
        <v>526537</v>
      </c>
      <c r="Y244" t="s">
        <v>87</v>
      </c>
    </row>
    <row r="245" spans="1:25">
      <c r="A245" s="1" t="s">
        <v>314</v>
      </c>
      <c r="B245" t="s">
        <v>43</v>
      </c>
      <c r="C245" t="s">
        <v>78</v>
      </c>
      <c r="D245" t="s">
        <v>28</v>
      </c>
      <c r="E245" t="s">
        <v>63</v>
      </c>
      <c r="F245" t="s">
        <v>67</v>
      </c>
      <c r="G245" t="s">
        <v>39</v>
      </c>
      <c r="H245" t="s">
        <v>56</v>
      </c>
      <c r="I245" t="s">
        <v>41</v>
      </c>
      <c r="J245" s="2">
        <v>45396</v>
      </c>
      <c r="K245" s="2">
        <v>45397</v>
      </c>
      <c r="L245" s="2">
        <v>45405</v>
      </c>
      <c r="M245" s="2">
        <v>45410</v>
      </c>
      <c r="N245" s="2">
        <v>45424</v>
      </c>
      <c r="O245">
        <v>1</v>
      </c>
      <c r="P245">
        <v>1</v>
      </c>
      <c r="Q245">
        <v>1</v>
      </c>
      <c r="R245">
        <v>1</v>
      </c>
      <c r="S245">
        <v>0</v>
      </c>
      <c r="T245" t="s">
        <v>61</v>
      </c>
      <c r="U245">
        <v>94</v>
      </c>
      <c r="V245">
        <v>28</v>
      </c>
      <c r="W245">
        <v>6</v>
      </c>
      <c r="X245">
        <v>2090854</v>
      </c>
    </row>
    <row r="246" spans="1:25">
      <c r="A246" s="1" t="s">
        <v>315</v>
      </c>
      <c r="B246" t="s">
        <v>90</v>
      </c>
      <c r="C246" t="s">
        <v>71</v>
      </c>
      <c r="D246" t="s">
        <v>59</v>
      </c>
      <c r="E246" t="s">
        <v>66</v>
      </c>
      <c r="F246" t="s">
        <v>30</v>
      </c>
      <c r="G246" t="s">
        <v>60</v>
      </c>
      <c r="H246" t="s">
        <v>56</v>
      </c>
      <c r="I246" t="s">
        <v>33</v>
      </c>
      <c r="J246" s="2">
        <v>45225</v>
      </c>
      <c r="K246" s="2">
        <v>45226</v>
      </c>
      <c r="L246" s="2">
        <v>45232</v>
      </c>
      <c r="M246" s="2">
        <v>45235</v>
      </c>
      <c r="N246" s="2">
        <v>45244</v>
      </c>
      <c r="O246">
        <v>1</v>
      </c>
      <c r="P246">
        <v>1</v>
      </c>
      <c r="Q246">
        <v>1</v>
      </c>
      <c r="R246">
        <v>0</v>
      </c>
      <c r="S246">
        <v>0</v>
      </c>
      <c r="T246" t="s">
        <v>49</v>
      </c>
      <c r="U246">
        <v>72</v>
      </c>
      <c r="W246">
        <v>6</v>
      </c>
      <c r="X246">
        <v>806000</v>
      </c>
      <c r="Y246" t="s">
        <v>50</v>
      </c>
    </row>
    <row r="247" spans="1:25">
      <c r="A247" s="1" t="s">
        <v>316</v>
      </c>
      <c r="B247" t="s">
        <v>70</v>
      </c>
      <c r="C247" t="s">
        <v>71</v>
      </c>
      <c r="D247" t="s">
        <v>59</v>
      </c>
      <c r="E247" t="s">
        <v>29</v>
      </c>
      <c r="F247" t="s">
        <v>67</v>
      </c>
      <c r="G247" t="s">
        <v>39</v>
      </c>
      <c r="H247" t="s">
        <v>40</v>
      </c>
      <c r="I247" t="s">
        <v>41</v>
      </c>
      <c r="J247" s="2">
        <v>44943</v>
      </c>
      <c r="K247" s="2">
        <v>44947</v>
      </c>
      <c r="L247" s="2">
        <v>44953</v>
      </c>
      <c r="M247" s="2">
        <v>44957</v>
      </c>
      <c r="N247" s="2">
        <v>44970</v>
      </c>
      <c r="O247">
        <v>1</v>
      </c>
      <c r="P247">
        <v>1</v>
      </c>
      <c r="Q247">
        <v>1</v>
      </c>
      <c r="R247">
        <v>1</v>
      </c>
      <c r="S247">
        <v>0</v>
      </c>
      <c r="T247" t="s">
        <v>61</v>
      </c>
      <c r="U247">
        <v>57</v>
      </c>
      <c r="V247">
        <v>27</v>
      </c>
      <c r="W247">
        <v>5</v>
      </c>
      <c r="X247">
        <v>1254362</v>
      </c>
    </row>
    <row r="248" spans="1:25">
      <c r="A248" s="1" t="s">
        <v>317</v>
      </c>
      <c r="B248" t="s">
        <v>26</v>
      </c>
      <c r="C248" t="s">
        <v>37</v>
      </c>
      <c r="D248" t="s">
        <v>44</v>
      </c>
      <c r="E248" t="s">
        <v>54</v>
      </c>
      <c r="F248" t="s">
        <v>30</v>
      </c>
      <c r="G248" t="s">
        <v>31</v>
      </c>
      <c r="H248" t="s">
        <v>56</v>
      </c>
      <c r="I248" t="s">
        <v>41</v>
      </c>
      <c r="J248" s="2">
        <v>45053</v>
      </c>
      <c r="K248" s="2">
        <v>45054</v>
      </c>
      <c r="L248" s="2">
        <v>45059</v>
      </c>
      <c r="M248" s="2">
        <v>45065</v>
      </c>
      <c r="N248" s="2">
        <v>45078</v>
      </c>
      <c r="O248">
        <v>0</v>
      </c>
      <c r="P248">
        <v>0</v>
      </c>
      <c r="Q248">
        <v>0</v>
      </c>
      <c r="R248">
        <v>0</v>
      </c>
      <c r="S248">
        <v>1</v>
      </c>
      <c r="T248" t="s">
        <v>74</v>
      </c>
      <c r="U248">
        <v>88</v>
      </c>
      <c r="W248">
        <v>2</v>
      </c>
    </row>
    <row r="249" spans="1:25">
      <c r="A249" s="1" t="s">
        <v>318</v>
      </c>
      <c r="B249" t="s">
        <v>70</v>
      </c>
      <c r="C249" t="s">
        <v>78</v>
      </c>
      <c r="D249" t="s">
        <v>73</v>
      </c>
      <c r="E249" t="s">
        <v>54</v>
      </c>
      <c r="F249" t="s">
        <v>30</v>
      </c>
      <c r="G249" t="s">
        <v>45</v>
      </c>
      <c r="H249" t="s">
        <v>40</v>
      </c>
      <c r="I249" t="s">
        <v>33</v>
      </c>
      <c r="J249" s="2">
        <v>44946</v>
      </c>
      <c r="K249" s="2">
        <v>44947</v>
      </c>
      <c r="L249" s="2">
        <v>44951</v>
      </c>
      <c r="M249" s="2">
        <v>44954</v>
      </c>
      <c r="N249" s="2">
        <v>44985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74</v>
      </c>
      <c r="U249">
        <v>66</v>
      </c>
      <c r="W249">
        <v>10</v>
      </c>
    </row>
    <row r="250" spans="1:25">
      <c r="A250" s="1" t="s">
        <v>319</v>
      </c>
      <c r="B250" t="s">
        <v>90</v>
      </c>
      <c r="C250" t="s">
        <v>47</v>
      </c>
      <c r="D250" t="s">
        <v>59</v>
      </c>
      <c r="E250" t="s">
        <v>29</v>
      </c>
      <c r="F250" t="s">
        <v>30</v>
      </c>
      <c r="G250" t="s">
        <v>39</v>
      </c>
      <c r="H250" t="s">
        <v>56</v>
      </c>
      <c r="I250" t="s">
        <v>41</v>
      </c>
      <c r="J250" s="2">
        <v>45350</v>
      </c>
      <c r="K250" s="2">
        <v>45353</v>
      </c>
      <c r="L250" s="2">
        <v>45357</v>
      </c>
      <c r="M250" s="2">
        <v>45359</v>
      </c>
      <c r="N250" s="2">
        <v>45374</v>
      </c>
      <c r="O250">
        <v>1</v>
      </c>
      <c r="P250">
        <v>1</v>
      </c>
      <c r="Q250">
        <v>1</v>
      </c>
      <c r="R250">
        <v>1</v>
      </c>
      <c r="S250">
        <v>0</v>
      </c>
      <c r="T250" t="s">
        <v>61</v>
      </c>
      <c r="U250">
        <v>61</v>
      </c>
      <c r="V250">
        <v>24</v>
      </c>
      <c r="W250">
        <v>8</v>
      </c>
      <c r="X250">
        <v>2469107</v>
      </c>
    </row>
    <row r="251" spans="1:25">
      <c r="A251" s="1" t="s">
        <v>320</v>
      </c>
      <c r="B251" t="s">
        <v>36</v>
      </c>
      <c r="C251" t="s">
        <v>37</v>
      </c>
      <c r="D251" t="s">
        <v>44</v>
      </c>
      <c r="E251" t="s">
        <v>29</v>
      </c>
      <c r="F251" t="s">
        <v>76</v>
      </c>
      <c r="G251" t="s">
        <v>31</v>
      </c>
      <c r="H251" t="s">
        <v>56</v>
      </c>
      <c r="I251" t="s">
        <v>41</v>
      </c>
      <c r="J251" s="2">
        <v>45004</v>
      </c>
      <c r="K251" s="2">
        <v>45008</v>
      </c>
      <c r="L251" s="2">
        <v>45011</v>
      </c>
      <c r="M251" s="2">
        <v>45017</v>
      </c>
      <c r="N251" s="2">
        <v>45025</v>
      </c>
      <c r="O251">
        <v>1</v>
      </c>
      <c r="P251">
        <v>1</v>
      </c>
      <c r="Q251">
        <v>0</v>
      </c>
      <c r="R251">
        <v>0</v>
      </c>
      <c r="S251">
        <v>0</v>
      </c>
      <c r="T251" t="s">
        <v>34</v>
      </c>
      <c r="U251">
        <v>73</v>
      </c>
      <c r="W251">
        <v>4</v>
      </c>
    </row>
    <row r="252" spans="1:25">
      <c r="A252" s="1" t="s">
        <v>321</v>
      </c>
      <c r="B252" t="s">
        <v>90</v>
      </c>
      <c r="C252" t="s">
        <v>71</v>
      </c>
      <c r="D252" t="s">
        <v>28</v>
      </c>
      <c r="E252" t="s">
        <v>54</v>
      </c>
      <c r="F252" t="s">
        <v>64</v>
      </c>
      <c r="G252" t="s">
        <v>45</v>
      </c>
      <c r="H252" t="s">
        <v>56</v>
      </c>
      <c r="I252" t="s">
        <v>33</v>
      </c>
      <c r="J252" s="2">
        <v>45312</v>
      </c>
      <c r="K252" s="2">
        <v>45317</v>
      </c>
      <c r="L252" s="2">
        <v>45321</v>
      </c>
      <c r="M252" s="2">
        <v>45323</v>
      </c>
      <c r="N252" s="2">
        <v>45334</v>
      </c>
      <c r="O252">
        <v>1</v>
      </c>
      <c r="P252">
        <v>1</v>
      </c>
      <c r="Q252">
        <v>1</v>
      </c>
      <c r="R252">
        <v>1</v>
      </c>
      <c r="S252">
        <v>0</v>
      </c>
      <c r="T252" t="s">
        <v>61</v>
      </c>
      <c r="U252">
        <v>51</v>
      </c>
      <c r="V252">
        <v>22</v>
      </c>
      <c r="W252">
        <v>5</v>
      </c>
      <c r="X252">
        <v>1424252</v>
      </c>
    </row>
    <row r="253" spans="1:25">
      <c r="A253" s="1" t="s">
        <v>322</v>
      </c>
      <c r="B253" t="s">
        <v>36</v>
      </c>
      <c r="C253" t="s">
        <v>78</v>
      </c>
      <c r="D253" t="s">
        <v>52</v>
      </c>
      <c r="E253" t="s">
        <v>54</v>
      </c>
      <c r="F253" t="s">
        <v>30</v>
      </c>
      <c r="G253" t="s">
        <v>31</v>
      </c>
      <c r="H253" t="s">
        <v>32</v>
      </c>
      <c r="I253" t="s">
        <v>41</v>
      </c>
      <c r="J253" s="2">
        <v>45372</v>
      </c>
      <c r="K253" s="2">
        <v>45373</v>
      </c>
      <c r="L253" s="2">
        <v>45376</v>
      </c>
      <c r="M253" s="2">
        <v>45379</v>
      </c>
      <c r="N253" s="2">
        <v>45401</v>
      </c>
      <c r="O253">
        <v>1</v>
      </c>
      <c r="P253">
        <v>0</v>
      </c>
      <c r="Q253">
        <v>0</v>
      </c>
      <c r="R253">
        <v>0</v>
      </c>
      <c r="S253">
        <v>0</v>
      </c>
      <c r="T253" t="s">
        <v>34</v>
      </c>
      <c r="U253">
        <v>52</v>
      </c>
      <c r="W253">
        <v>10</v>
      </c>
    </row>
    <row r="254" spans="1:25">
      <c r="A254" s="1" t="s">
        <v>323</v>
      </c>
      <c r="B254" t="s">
        <v>58</v>
      </c>
      <c r="C254" t="s">
        <v>71</v>
      </c>
      <c r="D254" t="s">
        <v>59</v>
      </c>
      <c r="E254" t="s">
        <v>54</v>
      </c>
      <c r="F254" t="s">
        <v>48</v>
      </c>
      <c r="G254" t="s">
        <v>31</v>
      </c>
      <c r="H254" t="s">
        <v>32</v>
      </c>
      <c r="I254" t="s">
        <v>41</v>
      </c>
      <c r="J254" s="2">
        <v>45002</v>
      </c>
      <c r="K254" s="2">
        <v>45004</v>
      </c>
      <c r="L254" s="2">
        <v>45014</v>
      </c>
      <c r="M254" s="2">
        <v>45018</v>
      </c>
      <c r="N254" s="2">
        <v>45018</v>
      </c>
      <c r="O254">
        <v>1</v>
      </c>
      <c r="P254">
        <v>0</v>
      </c>
      <c r="Q254">
        <v>0</v>
      </c>
      <c r="R254">
        <v>0</v>
      </c>
      <c r="S254">
        <v>0</v>
      </c>
      <c r="T254" t="s">
        <v>34</v>
      </c>
      <c r="U254">
        <v>87</v>
      </c>
      <c r="W254">
        <v>7</v>
      </c>
    </row>
    <row r="255" spans="1:25">
      <c r="A255" s="1" t="s">
        <v>324</v>
      </c>
      <c r="B255" t="s">
        <v>26</v>
      </c>
      <c r="C255" t="s">
        <v>78</v>
      </c>
      <c r="D255" t="s">
        <v>73</v>
      </c>
      <c r="E255" t="s">
        <v>63</v>
      </c>
      <c r="F255" t="s">
        <v>48</v>
      </c>
      <c r="G255" t="s">
        <v>39</v>
      </c>
      <c r="H255" t="s">
        <v>56</v>
      </c>
      <c r="I255" t="s">
        <v>41</v>
      </c>
      <c r="J255" s="2">
        <v>45398</v>
      </c>
      <c r="K255" s="2">
        <v>45403</v>
      </c>
      <c r="L255" s="2">
        <v>45409</v>
      </c>
      <c r="M255" s="2">
        <v>45416</v>
      </c>
      <c r="N255" s="2">
        <v>45418</v>
      </c>
      <c r="O255">
        <v>1</v>
      </c>
      <c r="P255">
        <v>1</v>
      </c>
      <c r="Q255">
        <v>1</v>
      </c>
      <c r="R255">
        <v>1</v>
      </c>
      <c r="S255">
        <v>0</v>
      </c>
      <c r="T255" t="s">
        <v>61</v>
      </c>
      <c r="U255">
        <v>87</v>
      </c>
      <c r="V255">
        <v>20</v>
      </c>
      <c r="W255">
        <v>8</v>
      </c>
      <c r="X255">
        <v>2135626</v>
      </c>
    </row>
    <row r="256" spans="1:25">
      <c r="A256" s="1" t="s">
        <v>325</v>
      </c>
      <c r="B256" t="s">
        <v>26</v>
      </c>
      <c r="C256" t="s">
        <v>27</v>
      </c>
      <c r="D256" t="s">
        <v>52</v>
      </c>
      <c r="E256" t="s">
        <v>54</v>
      </c>
      <c r="F256" t="s">
        <v>30</v>
      </c>
      <c r="G256" t="s">
        <v>60</v>
      </c>
      <c r="H256" t="s">
        <v>56</v>
      </c>
      <c r="I256" t="s">
        <v>41</v>
      </c>
      <c r="J256" s="2">
        <v>45083</v>
      </c>
      <c r="K256" s="2">
        <v>45086</v>
      </c>
      <c r="L256" s="2">
        <v>45091</v>
      </c>
      <c r="M256" s="2">
        <v>45096</v>
      </c>
      <c r="N256" s="2">
        <v>45105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74</v>
      </c>
      <c r="U256">
        <v>97</v>
      </c>
      <c r="W256">
        <v>1</v>
      </c>
    </row>
    <row r="257" spans="1:25">
      <c r="A257" s="1" t="s">
        <v>326</v>
      </c>
      <c r="B257" t="s">
        <v>70</v>
      </c>
      <c r="C257" t="s">
        <v>78</v>
      </c>
      <c r="D257" t="s">
        <v>73</v>
      </c>
      <c r="E257" t="s">
        <v>54</v>
      </c>
      <c r="F257" t="s">
        <v>64</v>
      </c>
      <c r="G257" t="s">
        <v>31</v>
      </c>
      <c r="H257" t="s">
        <v>40</v>
      </c>
      <c r="I257" t="s">
        <v>33</v>
      </c>
      <c r="J257" s="2">
        <v>45124</v>
      </c>
      <c r="K257" s="2">
        <v>45127</v>
      </c>
      <c r="L257" s="2">
        <v>45136</v>
      </c>
      <c r="M257" s="2">
        <v>45139</v>
      </c>
      <c r="N257" s="2">
        <v>45163</v>
      </c>
      <c r="O257">
        <v>1</v>
      </c>
      <c r="P257">
        <v>1</v>
      </c>
      <c r="Q257">
        <v>0</v>
      </c>
      <c r="R257">
        <v>0</v>
      </c>
      <c r="S257">
        <v>0</v>
      </c>
      <c r="T257" t="s">
        <v>34</v>
      </c>
      <c r="U257">
        <v>65</v>
      </c>
      <c r="W257">
        <v>9</v>
      </c>
    </row>
    <row r="258" spans="1:25">
      <c r="A258" s="1" t="s">
        <v>327</v>
      </c>
      <c r="B258" t="s">
        <v>26</v>
      </c>
      <c r="C258" t="s">
        <v>78</v>
      </c>
      <c r="D258" t="s">
        <v>73</v>
      </c>
      <c r="E258" t="s">
        <v>63</v>
      </c>
      <c r="F258" t="s">
        <v>48</v>
      </c>
      <c r="G258" t="s">
        <v>60</v>
      </c>
      <c r="H258" t="s">
        <v>56</v>
      </c>
      <c r="I258" t="s">
        <v>41</v>
      </c>
      <c r="J258" s="2">
        <v>45291</v>
      </c>
      <c r="K258" s="2">
        <v>45295</v>
      </c>
      <c r="L258" s="2">
        <v>45302</v>
      </c>
      <c r="M258" s="2">
        <v>45306</v>
      </c>
      <c r="N258" s="2">
        <v>45315</v>
      </c>
      <c r="O258">
        <v>1</v>
      </c>
      <c r="P258">
        <v>1</v>
      </c>
      <c r="Q258">
        <v>1</v>
      </c>
      <c r="R258">
        <v>0</v>
      </c>
      <c r="S258">
        <v>0</v>
      </c>
      <c r="T258" t="s">
        <v>49</v>
      </c>
      <c r="U258">
        <v>89</v>
      </c>
      <c r="W258">
        <v>10</v>
      </c>
      <c r="X258">
        <v>1466174</v>
      </c>
      <c r="Y258" t="s">
        <v>68</v>
      </c>
    </row>
    <row r="259" spans="1:25">
      <c r="A259" s="1" t="s">
        <v>328</v>
      </c>
      <c r="B259" t="s">
        <v>70</v>
      </c>
      <c r="C259" t="s">
        <v>37</v>
      </c>
      <c r="D259" t="s">
        <v>44</v>
      </c>
      <c r="E259" t="s">
        <v>102</v>
      </c>
      <c r="F259" t="s">
        <v>48</v>
      </c>
      <c r="G259" t="s">
        <v>60</v>
      </c>
      <c r="H259" t="s">
        <v>40</v>
      </c>
      <c r="I259" t="s">
        <v>33</v>
      </c>
      <c r="J259" s="2">
        <v>45029</v>
      </c>
      <c r="K259" s="2">
        <v>45030</v>
      </c>
      <c r="L259" s="2">
        <v>45038</v>
      </c>
      <c r="M259" s="2">
        <v>45042</v>
      </c>
      <c r="N259" s="2">
        <v>45053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74</v>
      </c>
      <c r="U259">
        <v>82</v>
      </c>
      <c r="W259">
        <v>1</v>
      </c>
    </row>
    <row r="260" spans="1:25">
      <c r="A260" s="1" t="s">
        <v>329</v>
      </c>
      <c r="B260" t="s">
        <v>70</v>
      </c>
      <c r="C260" t="s">
        <v>71</v>
      </c>
      <c r="D260" t="s">
        <v>73</v>
      </c>
      <c r="E260" t="s">
        <v>63</v>
      </c>
      <c r="F260" t="s">
        <v>67</v>
      </c>
      <c r="G260" t="s">
        <v>55</v>
      </c>
      <c r="H260" t="s">
        <v>32</v>
      </c>
      <c r="I260" t="s">
        <v>33</v>
      </c>
      <c r="J260" s="2">
        <v>45034</v>
      </c>
      <c r="K260" s="2">
        <v>45035</v>
      </c>
      <c r="L260" s="2">
        <v>45039</v>
      </c>
      <c r="M260" s="2">
        <v>45043</v>
      </c>
      <c r="N260" s="2">
        <v>45064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74</v>
      </c>
      <c r="U260">
        <v>66</v>
      </c>
      <c r="W260">
        <v>5</v>
      </c>
    </row>
    <row r="261" spans="1:25">
      <c r="A261" s="1" t="s">
        <v>330</v>
      </c>
      <c r="B261" t="s">
        <v>36</v>
      </c>
      <c r="C261" t="s">
        <v>78</v>
      </c>
      <c r="D261" t="s">
        <v>44</v>
      </c>
      <c r="E261" t="s">
        <v>102</v>
      </c>
      <c r="F261" t="s">
        <v>38</v>
      </c>
      <c r="G261" t="s">
        <v>55</v>
      </c>
      <c r="H261" t="s">
        <v>32</v>
      </c>
      <c r="I261" t="s">
        <v>41</v>
      </c>
      <c r="J261" s="2">
        <v>45159</v>
      </c>
      <c r="K261" s="2">
        <v>45161</v>
      </c>
      <c r="L261" s="2">
        <v>45171</v>
      </c>
      <c r="M261" s="2">
        <v>45177</v>
      </c>
      <c r="N261" s="2">
        <v>45178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74</v>
      </c>
      <c r="U261">
        <v>55</v>
      </c>
      <c r="W261">
        <v>9</v>
      </c>
    </row>
    <row r="262" spans="1:25">
      <c r="A262" s="1" t="s">
        <v>331</v>
      </c>
      <c r="B262" t="s">
        <v>36</v>
      </c>
      <c r="C262" t="s">
        <v>71</v>
      </c>
      <c r="D262" t="s">
        <v>59</v>
      </c>
      <c r="E262" t="s">
        <v>63</v>
      </c>
      <c r="F262" t="s">
        <v>48</v>
      </c>
      <c r="G262" t="s">
        <v>60</v>
      </c>
      <c r="H262" t="s">
        <v>32</v>
      </c>
      <c r="I262" t="s">
        <v>33</v>
      </c>
      <c r="J262" s="2">
        <v>45397</v>
      </c>
      <c r="K262" s="2">
        <v>45402</v>
      </c>
      <c r="L262" s="2">
        <v>45408</v>
      </c>
      <c r="M262" s="2">
        <v>45414</v>
      </c>
      <c r="N262" s="2">
        <v>45421</v>
      </c>
      <c r="O262">
        <v>0</v>
      </c>
      <c r="P262">
        <v>0</v>
      </c>
      <c r="Q262">
        <v>0</v>
      </c>
      <c r="R262">
        <v>0</v>
      </c>
      <c r="S262">
        <v>1</v>
      </c>
      <c r="T262" t="s">
        <v>74</v>
      </c>
      <c r="U262">
        <v>88</v>
      </c>
      <c r="W262">
        <v>4</v>
      </c>
    </row>
    <row r="263" spans="1:25">
      <c r="A263" s="1" t="s">
        <v>332</v>
      </c>
      <c r="B263" t="s">
        <v>36</v>
      </c>
      <c r="C263" t="s">
        <v>78</v>
      </c>
      <c r="D263" t="s">
        <v>44</v>
      </c>
      <c r="E263" t="s">
        <v>102</v>
      </c>
      <c r="F263" t="s">
        <v>30</v>
      </c>
      <c r="G263" t="s">
        <v>60</v>
      </c>
      <c r="H263" t="s">
        <v>40</v>
      </c>
      <c r="I263" t="s">
        <v>41</v>
      </c>
      <c r="J263" s="2">
        <v>45221</v>
      </c>
      <c r="K263" s="2">
        <v>45226</v>
      </c>
      <c r="L263" s="2">
        <v>45230</v>
      </c>
      <c r="M263" s="2">
        <v>45237</v>
      </c>
      <c r="N263" s="2">
        <v>45245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74</v>
      </c>
      <c r="U263">
        <v>60</v>
      </c>
      <c r="W263">
        <v>6</v>
      </c>
    </row>
    <row r="264" spans="1:25">
      <c r="A264" s="1" t="s">
        <v>333</v>
      </c>
      <c r="B264" t="s">
        <v>70</v>
      </c>
      <c r="C264" t="s">
        <v>71</v>
      </c>
      <c r="D264" t="s">
        <v>44</v>
      </c>
      <c r="E264" t="s">
        <v>66</v>
      </c>
      <c r="F264" t="s">
        <v>48</v>
      </c>
      <c r="G264" t="s">
        <v>31</v>
      </c>
      <c r="H264" t="s">
        <v>40</v>
      </c>
      <c r="I264" t="s">
        <v>41</v>
      </c>
      <c r="J264" s="2">
        <v>44930</v>
      </c>
      <c r="K264" s="2">
        <v>44934</v>
      </c>
      <c r="L264" s="2">
        <v>44943</v>
      </c>
      <c r="M264" s="2">
        <v>44946</v>
      </c>
      <c r="N264" s="2">
        <v>44964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74</v>
      </c>
      <c r="U264">
        <v>48</v>
      </c>
      <c r="W264">
        <v>7</v>
      </c>
    </row>
    <row r="265" spans="1:25">
      <c r="A265" s="1" t="s">
        <v>334</v>
      </c>
      <c r="B265" t="s">
        <v>70</v>
      </c>
      <c r="C265" t="s">
        <v>71</v>
      </c>
      <c r="D265" t="s">
        <v>44</v>
      </c>
      <c r="E265" t="s">
        <v>29</v>
      </c>
      <c r="F265" t="s">
        <v>38</v>
      </c>
      <c r="G265" t="s">
        <v>45</v>
      </c>
      <c r="H265" t="s">
        <v>56</v>
      </c>
      <c r="I265" t="s">
        <v>33</v>
      </c>
      <c r="J265" s="2">
        <v>45387</v>
      </c>
      <c r="K265" s="2">
        <v>45390</v>
      </c>
      <c r="L265" s="2">
        <v>45396</v>
      </c>
      <c r="M265" s="2">
        <v>45403</v>
      </c>
      <c r="N265" s="2">
        <v>45413</v>
      </c>
      <c r="O265">
        <v>1</v>
      </c>
      <c r="P265">
        <v>1</v>
      </c>
      <c r="Q265">
        <v>0</v>
      </c>
      <c r="R265">
        <v>0</v>
      </c>
      <c r="S265">
        <v>0</v>
      </c>
      <c r="T265" t="s">
        <v>34</v>
      </c>
      <c r="U265">
        <v>88</v>
      </c>
      <c r="W265">
        <v>3</v>
      </c>
    </row>
    <row r="266" spans="1:25">
      <c r="A266" s="1" t="s">
        <v>335</v>
      </c>
      <c r="B266" t="s">
        <v>70</v>
      </c>
      <c r="C266" t="s">
        <v>47</v>
      </c>
      <c r="D266" t="s">
        <v>73</v>
      </c>
      <c r="E266" t="s">
        <v>63</v>
      </c>
      <c r="F266" t="s">
        <v>38</v>
      </c>
      <c r="G266" t="s">
        <v>60</v>
      </c>
      <c r="H266" t="s">
        <v>56</v>
      </c>
      <c r="I266" t="s">
        <v>41</v>
      </c>
      <c r="J266" s="2">
        <v>45237</v>
      </c>
      <c r="K266" s="2">
        <v>45238</v>
      </c>
      <c r="L266" s="2">
        <v>45244</v>
      </c>
      <c r="M266" s="2">
        <v>45248</v>
      </c>
      <c r="N266" s="2">
        <v>45270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74</v>
      </c>
      <c r="U266">
        <v>80</v>
      </c>
      <c r="W266">
        <v>8</v>
      </c>
    </row>
    <row r="267" spans="1:25">
      <c r="A267" s="1" t="s">
        <v>336</v>
      </c>
      <c r="B267" t="s">
        <v>43</v>
      </c>
      <c r="C267" t="s">
        <v>27</v>
      </c>
      <c r="D267" t="s">
        <v>59</v>
      </c>
      <c r="E267" t="s">
        <v>29</v>
      </c>
      <c r="F267" t="s">
        <v>38</v>
      </c>
      <c r="G267" t="s">
        <v>55</v>
      </c>
      <c r="H267" t="s">
        <v>32</v>
      </c>
      <c r="I267" t="s">
        <v>33</v>
      </c>
      <c r="J267" s="2">
        <v>45182</v>
      </c>
      <c r="K267" s="2">
        <v>45184</v>
      </c>
      <c r="L267" s="2">
        <v>45191</v>
      </c>
      <c r="M267" s="2">
        <v>45193</v>
      </c>
      <c r="N267" s="2">
        <v>45207</v>
      </c>
      <c r="O267">
        <v>0</v>
      </c>
      <c r="P267">
        <v>0</v>
      </c>
      <c r="Q267">
        <v>0</v>
      </c>
      <c r="R267">
        <v>0</v>
      </c>
      <c r="S267">
        <v>1</v>
      </c>
      <c r="T267" t="s">
        <v>74</v>
      </c>
      <c r="U267">
        <v>65</v>
      </c>
      <c r="W267">
        <v>0</v>
      </c>
    </row>
    <row r="268" spans="1:25">
      <c r="A268" s="1" t="s">
        <v>337</v>
      </c>
      <c r="B268" t="s">
        <v>58</v>
      </c>
      <c r="C268" t="s">
        <v>47</v>
      </c>
      <c r="D268" t="s">
        <v>73</v>
      </c>
      <c r="E268" t="s">
        <v>63</v>
      </c>
      <c r="F268" t="s">
        <v>30</v>
      </c>
      <c r="G268" t="s">
        <v>39</v>
      </c>
      <c r="H268" t="s">
        <v>56</v>
      </c>
      <c r="I268" t="s">
        <v>33</v>
      </c>
      <c r="J268" s="2">
        <v>45410</v>
      </c>
      <c r="K268" s="2">
        <v>45411</v>
      </c>
      <c r="L268" s="2">
        <v>45415</v>
      </c>
      <c r="M268" s="2">
        <v>45419</v>
      </c>
      <c r="N268" s="2">
        <v>45432</v>
      </c>
      <c r="O268">
        <v>1</v>
      </c>
      <c r="P268">
        <v>1</v>
      </c>
      <c r="Q268">
        <v>0</v>
      </c>
      <c r="R268">
        <v>0</v>
      </c>
      <c r="S268">
        <v>1</v>
      </c>
      <c r="T268" t="s">
        <v>34</v>
      </c>
      <c r="U268">
        <v>91</v>
      </c>
      <c r="W268">
        <v>8</v>
      </c>
    </row>
    <row r="269" spans="1:25">
      <c r="A269" s="1" t="s">
        <v>338</v>
      </c>
      <c r="B269" t="s">
        <v>58</v>
      </c>
      <c r="C269" t="s">
        <v>71</v>
      </c>
      <c r="D269" t="s">
        <v>59</v>
      </c>
      <c r="E269" t="s">
        <v>66</v>
      </c>
      <c r="F269" t="s">
        <v>67</v>
      </c>
      <c r="G269" t="s">
        <v>45</v>
      </c>
      <c r="H269" t="s">
        <v>56</v>
      </c>
      <c r="I269" t="s">
        <v>33</v>
      </c>
      <c r="J269" s="2">
        <v>45061</v>
      </c>
      <c r="K269" s="2">
        <v>45063</v>
      </c>
      <c r="L269" s="2">
        <v>45066</v>
      </c>
      <c r="M269" s="2">
        <v>45071</v>
      </c>
      <c r="N269" s="2">
        <v>45081</v>
      </c>
      <c r="O269">
        <v>1</v>
      </c>
      <c r="P269">
        <v>1</v>
      </c>
      <c r="Q269">
        <v>0</v>
      </c>
      <c r="R269">
        <v>0</v>
      </c>
      <c r="S269">
        <v>1</v>
      </c>
      <c r="T269" t="s">
        <v>34</v>
      </c>
      <c r="U269">
        <v>58</v>
      </c>
      <c r="W269">
        <v>5</v>
      </c>
    </row>
    <row r="270" spans="1:25">
      <c r="A270" s="1" t="s">
        <v>339</v>
      </c>
      <c r="B270" t="s">
        <v>26</v>
      </c>
      <c r="C270" t="s">
        <v>37</v>
      </c>
      <c r="D270" t="s">
        <v>73</v>
      </c>
      <c r="E270" t="s">
        <v>29</v>
      </c>
      <c r="F270" t="s">
        <v>76</v>
      </c>
      <c r="G270" t="s">
        <v>45</v>
      </c>
      <c r="H270" t="s">
        <v>56</v>
      </c>
      <c r="I270" t="s">
        <v>41</v>
      </c>
      <c r="J270" s="2">
        <v>44968</v>
      </c>
      <c r="K270" s="2">
        <v>44973</v>
      </c>
      <c r="L270" s="2">
        <v>44977</v>
      </c>
      <c r="M270" s="2">
        <v>44983</v>
      </c>
      <c r="N270" s="2">
        <v>44989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74</v>
      </c>
      <c r="U270">
        <v>94</v>
      </c>
      <c r="W270">
        <v>4</v>
      </c>
    </row>
    <row r="271" spans="1:25">
      <c r="A271" s="1" t="s">
        <v>340</v>
      </c>
      <c r="B271" t="s">
        <v>26</v>
      </c>
      <c r="C271" t="s">
        <v>37</v>
      </c>
      <c r="D271" t="s">
        <v>44</v>
      </c>
      <c r="E271" t="s">
        <v>63</v>
      </c>
      <c r="F271" t="s">
        <v>48</v>
      </c>
      <c r="G271" t="s">
        <v>31</v>
      </c>
      <c r="H271" t="s">
        <v>56</v>
      </c>
      <c r="I271" t="s">
        <v>41</v>
      </c>
      <c r="J271" s="2">
        <v>44985</v>
      </c>
      <c r="K271" s="2">
        <v>44990</v>
      </c>
      <c r="L271" s="2">
        <v>44995</v>
      </c>
      <c r="M271" s="2">
        <v>44997</v>
      </c>
      <c r="N271" s="2">
        <v>44999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74</v>
      </c>
      <c r="U271">
        <v>79</v>
      </c>
      <c r="W271">
        <v>1</v>
      </c>
    </row>
    <row r="272" spans="1:25">
      <c r="A272" s="1" t="s">
        <v>341</v>
      </c>
      <c r="B272" t="s">
        <v>36</v>
      </c>
      <c r="C272" t="s">
        <v>71</v>
      </c>
      <c r="D272" t="s">
        <v>73</v>
      </c>
      <c r="E272" t="s">
        <v>54</v>
      </c>
      <c r="F272" t="s">
        <v>30</v>
      </c>
      <c r="G272" t="s">
        <v>60</v>
      </c>
      <c r="H272" t="s">
        <v>40</v>
      </c>
      <c r="I272" t="s">
        <v>41</v>
      </c>
      <c r="J272" s="2">
        <v>44996</v>
      </c>
      <c r="K272" s="2">
        <v>45001</v>
      </c>
      <c r="L272" s="2">
        <v>45004</v>
      </c>
      <c r="M272" s="2">
        <v>45009</v>
      </c>
      <c r="N272" s="2">
        <v>45020</v>
      </c>
      <c r="O272">
        <v>1</v>
      </c>
      <c r="P272">
        <v>1</v>
      </c>
      <c r="Q272">
        <v>1</v>
      </c>
      <c r="R272">
        <v>0</v>
      </c>
      <c r="S272">
        <v>0</v>
      </c>
      <c r="T272" t="s">
        <v>49</v>
      </c>
      <c r="U272">
        <v>86</v>
      </c>
      <c r="W272">
        <v>7</v>
      </c>
      <c r="X272">
        <v>1022896</v>
      </c>
      <c r="Y272" t="s">
        <v>50</v>
      </c>
    </row>
    <row r="273" spans="1:25">
      <c r="A273" s="1" t="s">
        <v>342</v>
      </c>
      <c r="B273" t="s">
        <v>90</v>
      </c>
      <c r="C273" t="s">
        <v>47</v>
      </c>
      <c r="D273" t="s">
        <v>44</v>
      </c>
      <c r="E273" t="s">
        <v>54</v>
      </c>
      <c r="F273" t="s">
        <v>48</v>
      </c>
      <c r="G273" t="s">
        <v>60</v>
      </c>
      <c r="H273" t="s">
        <v>40</v>
      </c>
      <c r="I273" t="s">
        <v>41</v>
      </c>
      <c r="J273" s="2">
        <v>45330</v>
      </c>
      <c r="K273" s="2">
        <v>45331</v>
      </c>
      <c r="L273" s="2">
        <v>45339</v>
      </c>
      <c r="M273" s="2">
        <v>45343</v>
      </c>
      <c r="N273" s="2">
        <v>45365</v>
      </c>
      <c r="O273">
        <v>1</v>
      </c>
      <c r="P273">
        <v>1</v>
      </c>
      <c r="Q273">
        <v>0</v>
      </c>
      <c r="R273">
        <v>0</v>
      </c>
      <c r="S273">
        <v>0</v>
      </c>
      <c r="T273" t="s">
        <v>34</v>
      </c>
      <c r="U273">
        <v>86</v>
      </c>
      <c r="W273">
        <v>11</v>
      </c>
    </row>
    <row r="274" spans="1:25">
      <c r="A274" s="1" t="s">
        <v>343</v>
      </c>
      <c r="B274" t="s">
        <v>36</v>
      </c>
      <c r="C274" t="s">
        <v>47</v>
      </c>
      <c r="D274" t="s">
        <v>44</v>
      </c>
      <c r="E274" t="s">
        <v>54</v>
      </c>
      <c r="F274" t="s">
        <v>67</v>
      </c>
      <c r="G274" t="s">
        <v>45</v>
      </c>
      <c r="H274" t="s">
        <v>40</v>
      </c>
      <c r="I274" t="s">
        <v>33</v>
      </c>
      <c r="J274" s="2">
        <v>44956</v>
      </c>
      <c r="K274" s="2">
        <v>44961</v>
      </c>
      <c r="L274" s="2">
        <v>44967</v>
      </c>
      <c r="M274" s="2">
        <v>44969</v>
      </c>
      <c r="N274" s="2">
        <v>44976</v>
      </c>
      <c r="O274">
        <v>1</v>
      </c>
      <c r="P274">
        <v>1</v>
      </c>
      <c r="Q274">
        <v>0</v>
      </c>
      <c r="R274">
        <v>0</v>
      </c>
      <c r="S274">
        <v>0</v>
      </c>
      <c r="T274" t="s">
        <v>34</v>
      </c>
      <c r="U274">
        <v>87</v>
      </c>
      <c r="W274">
        <v>11</v>
      </c>
    </row>
    <row r="275" spans="1:25">
      <c r="A275" s="1" t="s">
        <v>344</v>
      </c>
      <c r="B275" t="s">
        <v>90</v>
      </c>
      <c r="C275" t="s">
        <v>78</v>
      </c>
      <c r="D275" t="s">
        <v>44</v>
      </c>
      <c r="E275" t="s">
        <v>66</v>
      </c>
      <c r="F275" t="s">
        <v>76</v>
      </c>
      <c r="G275" t="s">
        <v>39</v>
      </c>
      <c r="H275" t="s">
        <v>56</v>
      </c>
      <c r="I275" t="s">
        <v>41</v>
      </c>
      <c r="J275" s="2">
        <v>45281</v>
      </c>
      <c r="K275" s="2">
        <v>45283</v>
      </c>
      <c r="L275" s="2">
        <v>45291</v>
      </c>
      <c r="M275" s="2">
        <v>45297</v>
      </c>
      <c r="N275" s="2">
        <v>45305</v>
      </c>
      <c r="O275">
        <v>1</v>
      </c>
      <c r="P275">
        <v>1</v>
      </c>
      <c r="Q275">
        <v>0</v>
      </c>
      <c r="R275">
        <v>0</v>
      </c>
      <c r="S275">
        <v>0</v>
      </c>
      <c r="T275" t="s">
        <v>34</v>
      </c>
      <c r="U275">
        <v>48</v>
      </c>
      <c r="W275">
        <v>8</v>
      </c>
    </row>
    <row r="276" spans="1:25">
      <c r="A276" s="1" t="s">
        <v>345</v>
      </c>
      <c r="B276" t="s">
        <v>26</v>
      </c>
      <c r="C276" t="s">
        <v>37</v>
      </c>
      <c r="D276" t="s">
        <v>52</v>
      </c>
      <c r="E276" t="s">
        <v>54</v>
      </c>
      <c r="F276" t="s">
        <v>38</v>
      </c>
      <c r="G276" t="s">
        <v>39</v>
      </c>
      <c r="H276" t="s">
        <v>56</v>
      </c>
      <c r="I276" t="s">
        <v>41</v>
      </c>
      <c r="J276" s="2">
        <v>45384</v>
      </c>
      <c r="K276" s="2">
        <v>45389</v>
      </c>
      <c r="L276" s="2">
        <v>45395</v>
      </c>
      <c r="M276" s="2">
        <v>45399</v>
      </c>
      <c r="N276" s="2">
        <v>45408</v>
      </c>
      <c r="O276">
        <v>1</v>
      </c>
      <c r="P276">
        <v>1</v>
      </c>
      <c r="Q276">
        <v>0</v>
      </c>
      <c r="R276">
        <v>0</v>
      </c>
      <c r="S276">
        <v>0</v>
      </c>
      <c r="T276" t="s">
        <v>34</v>
      </c>
      <c r="U276">
        <v>99</v>
      </c>
      <c r="W276">
        <v>4</v>
      </c>
    </row>
    <row r="277" spans="1:25">
      <c r="A277" s="1" t="s">
        <v>346</v>
      </c>
      <c r="B277" t="s">
        <v>58</v>
      </c>
      <c r="C277" t="s">
        <v>71</v>
      </c>
      <c r="D277" t="s">
        <v>28</v>
      </c>
      <c r="E277" t="s">
        <v>66</v>
      </c>
      <c r="F277" t="s">
        <v>30</v>
      </c>
      <c r="G277" t="s">
        <v>39</v>
      </c>
      <c r="H277" t="s">
        <v>56</v>
      </c>
      <c r="I277" t="s">
        <v>33</v>
      </c>
      <c r="J277" s="2">
        <v>45331</v>
      </c>
      <c r="K277" s="2">
        <v>45335</v>
      </c>
      <c r="L277" s="2">
        <v>45342</v>
      </c>
      <c r="M277" s="2">
        <v>45347</v>
      </c>
      <c r="N277" s="2">
        <v>45348</v>
      </c>
      <c r="O277">
        <v>1</v>
      </c>
      <c r="P277">
        <v>1</v>
      </c>
      <c r="Q277">
        <v>1</v>
      </c>
      <c r="R277">
        <v>1</v>
      </c>
      <c r="S277">
        <v>0</v>
      </c>
      <c r="T277" t="s">
        <v>61</v>
      </c>
      <c r="U277">
        <v>78</v>
      </c>
      <c r="V277">
        <v>17</v>
      </c>
      <c r="W277">
        <v>4</v>
      </c>
      <c r="X277">
        <v>1198335</v>
      </c>
    </row>
    <row r="278" spans="1:25">
      <c r="A278" s="1" t="s">
        <v>347</v>
      </c>
      <c r="B278" t="s">
        <v>90</v>
      </c>
      <c r="C278" t="s">
        <v>47</v>
      </c>
      <c r="D278" t="s">
        <v>28</v>
      </c>
      <c r="E278" t="s">
        <v>54</v>
      </c>
      <c r="F278" t="s">
        <v>67</v>
      </c>
      <c r="G278" t="s">
        <v>60</v>
      </c>
      <c r="H278" t="s">
        <v>32</v>
      </c>
      <c r="I278" t="s">
        <v>33</v>
      </c>
      <c r="J278" s="2">
        <v>45227</v>
      </c>
      <c r="K278" s="2">
        <v>45230</v>
      </c>
      <c r="L278" s="2">
        <v>45236</v>
      </c>
      <c r="M278" s="2">
        <v>45241</v>
      </c>
      <c r="N278" s="2">
        <v>45253</v>
      </c>
      <c r="O278">
        <v>1</v>
      </c>
      <c r="P278">
        <v>0</v>
      </c>
      <c r="Q278">
        <v>0</v>
      </c>
      <c r="R278">
        <v>0</v>
      </c>
      <c r="S278">
        <v>0</v>
      </c>
      <c r="T278" t="s">
        <v>34</v>
      </c>
      <c r="U278">
        <v>72</v>
      </c>
      <c r="W278">
        <v>15</v>
      </c>
    </row>
    <row r="279" spans="1:25">
      <c r="A279" s="1" t="s">
        <v>348</v>
      </c>
      <c r="B279" t="s">
        <v>70</v>
      </c>
      <c r="C279" t="s">
        <v>78</v>
      </c>
      <c r="D279" t="s">
        <v>44</v>
      </c>
      <c r="E279" t="s">
        <v>54</v>
      </c>
      <c r="F279" t="s">
        <v>48</v>
      </c>
      <c r="G279" t="s">
        <v>55</v>
      </c>
      <c r="H279" t="s">
        <v>56</v>
      </c>
      <c r="I279" t="s">
        <v>33</v>
      </c>
      <c r="J279" s="2">
        <v>45238</v>
      </c>
      <c r="K279" s="2">
        <v>45239</v>
      </c>
      <c r="L279" s="2">
        <v>45248</v>
      </c>
      <c r="M279" s="2">
        <v>45251</v>
      </c>
      <c r="N279" s="2">
        <v>45276</v>
      </c>
      <c r="O279">
        <v>1</v>
      </c>
      <c r="P279">
        <v>1</v>
      </c>
      <c r="Q279">
        <v>1</v>
      </c>
      <c r="R279">
        <v>0</v>
      </c>
      <c r="S279">
        <v>0</v>
      </c>
      <c r="T279" t="s">
        <v>49</v>
      </c>
      <c r="U279">
        <v>59</v>
      </c>
      <c r="W279">
        <v>9</v>
      </c>
      <c r="X279">
        <v>1740482</v>
      </c>
      <c r="Y279" t="s">
        <v>68</v>
      </c>
    </row>
    <row r="280" spans="1:25">
      <c r="A280" s="1" t="s">
        <v>349</v>
      </c>
      <c r="B280" t="s">
        <v>70</v>
      </c>
      <c r="C280" t="s">
        <v>37</v>
      </c>
      <c r="D280" t="s">
        <v>44</v>
      </c>
      <c r="E280" t="s">
        <v>66</v>
      </c>
      <c r="F280" t="s">
        <v>38</v>
      </c>
      <c r="G280" t="s">
        <v>60</v>
      </c>
      <c r="H280" t="s">
        <v>32</v>
      </c>
      <c r="I280" t="s">
        <v>33</v>
      </c>
      <c r="J280" s="2">
        <v>45410</v>
      </c>
      <c r="K280" s="2">
        <v>45413</v>
      </c>
      <c r="L280" s="2">
        <v>45423</v>
      </c>
      <c r="M280" s="2">
        <v>45430</v>
      </c>
      <c r="N280" s="2">
        <v>45440</v>
      </c>
      <c r="O280">
        <v>1</v>
      </c>
      <c r="P280">
        <v>0</v>
      </c>
      <c r="Q280">
        <v>0</v>
      </c>
      <c r="R280">
        <v>0</v>
      </c>
      <c r="S280">
        <v>0</v>
      </c>
      <c r="T280" t="s">
        <v>34</v>
      </c>
      <c r="U280">
        <v>84</v>
      </c>
      <c r="W280">
        <v>3</v>
      </c>
    </row>
    <row r="281" spans="1:25">
      <c r="A281" s="1" t="s">
        <v>350</v>
      </c>
      <c r="B281" t="s">
        <v>26</v>
      </c>
      <c r="C281" t="s">
        <v>27</v>
      </c>
      <c r="D281" t="s">
        <v>28</v>
      </c>
      <c r="E281" t="s">
        <v>54</v>
      </c>
      <c r="F281" t="s">
        <v>38</v>
      </c>
      <c r="G281" t="s">
        <v>45</v>
      </c>
      <c r="H281" t="s">
        <v>32</v>
      </c>
      <c r="I281" t="s">
        <v>33</v>
      </c>
      <c r="J281" s="2">
        <v>44955</v>
      </c>
      <c r="K281" s="2">
        <v>44956</v>
      </c>
      <c r="L281" s="2">
        <v>44964</v>
      </c>
      <c r="M281" s="2">
        <v>44966</v>
      </c>
      <c r="N281" s="2">
        <v>44977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74</v>
      </c>
      <c r="U281">
        <v>80</v>
      </c>
      <c r="W281">
        <v>1</v>
      </c>
    </row>
    <row r="282" spans="1:25">
      <c r="A282" s="1" t="s">
        <v>351</v>
      </c>
      <c r="B282" t="s">
        <v>36</v>
      </c>
      <c r="C282" t="s">
        <v>78</v>
      </c>
      <c r="D282" t="s">
        <v>73</v>
      </c>
      <c r="E282" t="s">
        <v>66</v>
      </c>
      <c r="F282" t="s">
        <v>30</v>
      </c>
      <c r="G282" t="s">
        <v>55</v>
      </c>
      <c r="H282" t="s">
        <v>40</v>
      </c>
      <c r="I282" t="s">
        <v>41</v>
      </c>
      <c r="J282" s="2">
        <v>45379</v>
      </c>
      <c r="K282" s="2">
        <v>45383</v>
      </c>
      <c r="L282" s="2">
        <v>45389</v>
      </c>
      <c r="M282" s="2">
        <v>45392</v>
      </c>
      <c r="N282" s="2">
        <v>45401</v>
      </c>
      <c r="O282">
        <v>1</v>
      </c>
      <c r="P282">
        <v>1</v>
      </c>
      <c r="Q282">
        <v>1</v>
      </c>
      <c r="R282">
        <v>0</v>
      </c>
      <c r="S282">
        <v>0</v>
      </c>
      <c r="T282" t="s">
        <v>49</v>
      </c>
      <c r="U282">
        <v>94</v>
      </c>
      <c r="W282">
        <v>7</v>
      </c>
      <c r="X282">
        <v>1996972</v>
      </c>
      <c r="Y282" t="s">
        <v>68</v>
      </c>
    </row>
    <row r="283" spans="1:25">
      <c r="A283" s="1" t="s">
        <v>352</v>
      </c>
      <c r="B283" t="s">
        <v>43</v>
      </c>
      <c r="C283" t="s">
        <v>78</v>
      </c>
      <c r="D283" t="s">
        <v>28</v>
      </c>
      <c r="E283" t="s">
        <v>102</v>
      </c>
      <c r="F283" t="s">
        <v>38</v>
      </c>
      <c r="G283" t="s">
        <v>31</v>
      </c>
      <c r="H283" t="s">
        <v>40</v>
      </c>
      <c r="I283" t="s">
        <v>33</v>
      </c>
      <c r="J283" s="2">
        <v>45226</v>
      </c>
      <c r="K283" s="2">
        <v>45227</v>
      </c>
      <c r="L283" s="2">
        <v>45233</v>
      </c>
      <c r="M283" s="2">
        <v>45238</v>
      </c>
      <c r="N283" s="2">
        <v>45251</v>
      </c>
      <c r="O283">
        <v>1</v>
      </c>
      <c r="P283">
        <v>1</v>
      </c>
      <c r="Q283">
        <v>1</v>
      </c>
      <c r="R283">
        <v>0</v>
      </c>
      <c r="S283">
        <v>0</v>
      </c>
      <c r="T283" t="s">
        <v>49</v>
      </c>
      <c r="U283">
        <v>73</v>
      </c>
      <c r="W283">
        <v>7</v>
      </c>
      <c r="X283">
        <v>1814936</v>
      </c>
      <c r="Y283" t="s">
        <v>127</v>
      </c>
    </row>
    <row r="284" spans="1:25">
      <c r="A284" s="1" t="s">
        <v>353</v>
      </c>
      <c r="B284" t="s">
        <v>43</v>
      </c>
      <c r="C284" t="s">
        <v>37</v>
      </c>
      <c r="D284" t="s">
        <v>52</v>
      </c>
      <c r="E284" t="s">
        <v>102</v>
      </c>
      <c r="F284" t="s">
        <v>67</v>
      </c>
      <c r="G284" t="s">
        <v>31</v>
      </c>
      <c r="H284" t="s">
        <v>40</v>
      </c>
      <c r="I284" t="s">
        <v>33</v>
      </c>
      <c r="J284" s="2">
        <v>45109</v>
      </c>
      <c r="K284" s="2">
        <v>45112</v>
      </c>
      <c r="L284" s="2">
        <v>45118</v>
      </c>
      <c r="M284" s="2">
        <v>45123</v>
      </c>
      <c r="N284" s="2">
        <v>45131</v>
      </c>
      <c r="O284">
        <v>1</v>
      </c>
      <c r="P284">
        <v>0</v>
      </c>
      <c r="Q284">
        <v>0</v>
      </c>
      <c r="R284">
        <v>0</v>
      </c>
      <c r="S284">
        <v>0</v>
      </c>
      <c r="T284" t="s">
        <v>34</v>
      </c>
      <c r="U284">
        <v>75</v>
      </c>
      <c r="W284">
        <v>3</v>
      </c>
    </row>
    <row r="285" spans="1:25">
      <c r="A285" s="1" t="s">
        <v>354</v>
      </c>
      <c r="B285" t="s">
        <v>58</v>
      </c>
      <c r="C285" t="s">
        <v>78</v>
      </c>
      <c r="D285" t="s">
        <v>52</v>
      </c>
      <c r="E285" t="s">
        <v>63</v>
      </c>
      <c r="F285" t="s">
        <v>30</v>
      </c>
      <c r="G285" t="s">
        <v>45</v>
      </c>
      <c r="H285" t="s">
        <v>56</v>
      </c>
      <c r="I285" t="s">
        <v>33</v>
      </c>
      <c r="J285" s="2">
        <v>45471</v>
      </c>
      <c r="K285" s="2">
        <v>45472</v>
      </c>
      <c r="L285" s="2">
        <v>45477</v>
      </c>
      <c r="M285" s="2">
        <v>45481</v>
      </c>
      <c r="N285" s="2">
        <v>45487</v>
      </c>
      <c r="O285">
        <v>1</v>
      </c>
      <c r="P285">
        <v>0</v>
      </c>
      <c r="Q285">
        <v>0</v>
      </c>
      <c r="R285">
        <v>0</v>
      </c>
      <c r="S285">
        <v>0</v>
      </c>
      <c r="T285" t="s">
        <v>34</v>
      </c>
      <c r="U285">
        <v>94</v>
      </c>
      <c r="W285">
        <v>7</v>
      </c>
    </row>
    <row r="286" spans="1:25">
      <c r="A286" s="1" t="s">
        <v>355</v>
      </c>
      <c r="B286" t="s">
        <v>70</v>
      </c>
      <c r="C286" t="s">
        <v>37</v>
      </c>
      <c r="D286" t="s">
        <v>73</v>
      </c>
      <c r="E286" t="s">
        <v>63</v>
      </c>
      <c r="F286" t="s">
        <v>48</v>
      </c>
      <c r="G286" t="s">
        <v>39</v>
      </c>
      <c r="H286" t="s">
        <v>32</v>
      </c>
      <c r="I286" t="s">
        <v>41</v>
      </c>
      <c r="J286" s="2">
        <v>45194</v>
      </c>
      <c r="K286" s="2">
        <v>45199</v>
      </c>
      <c r="L286" s="2">
        <v>45203</v>
      </c>
      <c r="M286" s="2">
        <v>45207</v>
      </c>
      <c r="N286" s="2">
        <v>45226</v>
      </c>
      <c r="O286">
        <v>1</v>
      </c>
      <c r="P286">
        <v>1</v>
      </c>
      <c r="Q286">
        <v>0</v>
      </c>
      <c r="R286">
        <v>0</v>
      </c>
      <c r="S286">
        <v>0</v>
      </c>
      <c r="T286" t="s">
        <v>34</v>
      </c>
      <c r="U286">
        <v>49</v>
      </c>
      <c r="W286">
        <v>1</v>
      </c>
    </row>
    <row r="287" spans="1:25">
      <c r="A287" s="1" t="s">
        <v>356</v>
      </c>
      <c r="B287" t="s">
        <v>70</v>
      </c>
      <c r="C287" t="s">
        <v>47</v>
      </c>
      <c r="D287" t="s">
        <v>28</v>
      </c>
      <c r="E287" t="s">
        <v>54</v>
      </c>
      <c r="F287" t="s">
        <v>64</v>
      </c>
      <c r="G287" t="s">
        <v>45</v>
      </c>
      <c r="H287" t="s">
        <v>40</v>
      </c>
      <c r="I287" t="s">
        <v>33</v>
      </c>
      <c r="J287" s="2">
        <v>45041</v>
      </c>
      <c r="K287" s="2">
        <v>45044</v>
      </c>
      <c r="L287" s="2">
        <v>45047</v>
      </c>
      <c r="M287" s="2">
        <v>45051</v>
      </c>
      <c r="N287" s="2">
        <v>45075</v>
      </c>
      <c r="O287">
        <v>1</v>
      </c>
      <c r="P287">
        <v>0</v>
      </c>
      <c r="Q287">
        <v>0</v>
      </c>
      <c r="R287">
        <v>0</v>
      </c>
      <c r="S287">
        <v>0</v>
      </c>
      <c r="T287" t="s">
        <v>34</v>
      </c>
      <c r="U287">
        <v>65</v>
      </c>
      <c r="W287">
        <v>8</v>
      </c>
    </row>
    <row r="288" spans="1:25">
      <c r="A288" s="1" t="s">
        <v>357</v>
      </c>
      <c r="B288" t="s">
        <v>58</v>
      </c>
      <c r="C288" t="s">
        <v>37</v>
      </c>
      <c r="D288" t="s">
        <v>44</v>
      </c>
      <c r="E288" t="s">
        <v>63</v>
      </c>
      <c r="F288" t="s">
        <v>30</v>
      </c>
      <c r="G288" t="s">
        <v>60</v>
      </c>
      <c r="H288" t="s">
        <v>32</v>
      </c>
      <c r="I288" t="s">
        <v>33</v>
      </c>
      <c r="J288" s="2">
        <v>44971</v>
      </c>
      <c r="K288" s="2">
        <v>44975</v>
      </c>
      <c r="L288" s="2">
        <v>44980</v>
      </c>
      <c r="M288" s="2">
        <v>44982</v>
      </c>
      <c r="N288" s="2">
        <v>44993</v>
      </c>
      <c r="O288">
        <v>1</v>
      </c>
      <c r="P288">
        <v>1</v>
      </c>
      <c r="Q288">
        <v>0</v>
      </c>
      <c r="R288">
        <v>0</v>
      </c>
      <c r="S288">
        <v>0</v>
      </c>
      <c r="T288" t="s">
        <v>34</v>
      </c>
      <c r="U288">
        <v>97</v>
      </c>
      <c r="W288">
        <v>2</v>
      </c>
    </row>
    <row r="289" spans="1:25">
      <c r="A289" s="1" t="s">
        <v>358</v>
      </c>
      <c r="B289" t="s">
        <v>70</v>
      </c>
      <c r="C289" t="s">
        <v>47</v>
      </c>
      <c r="D289" t="s">
        <v>44</v>
      </c>
      <c r="E289" t="s">
        <v>63</v>
      </c>
      <c r="F289" t="s">
        <v>48</v>
      </c>
      <c r="G289" t="s">
        <v>31</v>
      </c>
      <c r="H289" t="s">
        <v>32</v>
      </c>
      <c r="I289" t="s">
        <v>41</v>
      </c>
      <c r="J289" s="2">
        <v>44973</v>
      </c>
      <c r="K289" s="2">
        <v>44977</v>
      </c>
      <c r="L289" s="2">
        <v>44984</v>
      </c>
      <c r="M289" s="2">
        <v>44990</v>
      </c>
      <c r="N289" s="2">
        <v>45008</v>
      </c>
      <c r="O289">
        <v>1</v>
      </c>
      <c r="P289">
        <v>0</v>
      </c>
      <c r="Q289">
        <v>0</v>
      </c>
      <c r="R289">
        <v>0</v>
      </c>
      <c r="S289">
        <v>0</v>
      </c>
      <c r="T289" t="s">
        <v>34</v>
      </c>
      <c r="U289">
        <v>60</v>
      </c>
      <c r="W289">
        <v>15</v>
      </c>
    </row>
    <row r="290" spans="1:25">
      <c r="A290" s="1" t="s">
        <v>359</v>
      </c>
      <c r="B290" t="s">
        <v>70</v>
      </c>
      <c r="C290" t="s">
        <v>47</v>
      </c>
      <c r="D290" t="s">
        <v>52</v>
      </c>
      <c r="E290" t="s">
        <v>54</v>
      </c>
      <c r="F290" t="s">
        <v>38</v>
      </c>
      <c r="G290" t="s">
        <v>60</v>
      </c>
      <c r="H290" t="s">
        <v>40</v>
      </c>
      <c r="I290" t="s">
        <v>41</v>
      </c>
      <c r="J290" s="2">
        <v>45190</v>
      </c>
      <c r="K290" s="2">
        <v>45195</v>
      </c>
      <c r="L290" s="2">
        <v>45204</v>
      </c>
      <c r="M290" s="2">
        <v>45210</v>
      </c>
      <c r="N290" s="2">
        <v>45212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74</v>
      </c>
      <c r="U290">
        <v>47</v>
      </c>
      <c r="W290">
        <v>8</v>
      </c>
    </row>
    <row r="291" spans="1:25">
      <c r="A291" s="1" t="s">
        <v>360</v>
      </c>
      <c r="B291" t="s">
        <v>70</v>
      </c>
      <c r="C291" t="s">
        <v>71</v>
      </c>
      <c r="D291" t="s">
        <v>59</v>
      </c>
      <c r="E291" t="s">
        <v>102</v>
      </c>
      <c r="F291" t="s">
        <v>30</v>
      </c>
      <c r="G291" t="s">
        <v>55</v>
      </c>
      <c r="H291" t="s">
        <v>56</v>
      </c>
      <c r="I291" t="s">
        <v>33</v>
      </c>
      <c r="J291" s="2">
        <v>45071</v>
      </c>
      <c r="K291" s="2">
        <v>45073</v>
      </c>
      <c r="L291" s="2">
        <v>45082</v>
      </c>
      <c r="M291" s="2">
        <v>45088</v>
      </c>
      <c r="N291" s="2">
        <v>45092</v>
      </c>
      <c r="O291">
        <v>1</v>
      </c>
      <c r="P291">
        <v>1</v>
      </c>
      <c r="Q291">
        <v>1</v>
      </c>
      <c r="R291">
        <v>1</v>
      </c>
      <c r="S291">
        <v>0</v>
      </c>
      <c r="T291" t="s">
        <v>61</v>
      </c>
      <c r="U291">
        <v>67</v>
      </c>
      <c r="V291">
        <v>21</v>
      </c>
      <c r="W291">
        <v>6</v>
      </c>
      <c r="X291">
        <v>1304019</v>
      </c>
    </row>
    <row r="292" spans="1:25">
      <c r="A292" s="1" t="s">
        <v>361</v>
      </c>
      <c r="B292" t="s">
        <v>90</v>
      </c>
      <c r="C292" t="s">
        <v>71</v>
      </c>
      <c r="D292" t="s">
        <v>44</v>
      </c>
      <c r="E292" t="s">
        <v>66</v>
      </c>
      <c r="F292" t="s">
        <v>30</v>
      </c>
      <c r="G292" t="s">
        <v>60</v>
      </c>
      <c r="H292" t="s">
        <v>40</v>
      </c>
      <c r="I292" t="s">
        <v>33</v>
      </c>
      <c r="J292" s="2">
        <v>45430</v>
      </c>
      <c r="K292" s="2">
        <v>45434</v>
      </c>
      <c r="L292" s="2">
        <v>45441</v>
      </c>
      <c r="M292" s="2">
        <v>45447</v>
      </c>
      <c r="N292" s="2">
        <v>45459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74</v>
      </c>
      <c r="U292">
        <v>100</v>
      </c>
      <c r="W292">
        <v>3</v>
      </c>
    </row>
    <row r="293" spans="1:25">
      <c r="A293" s="1" t="s">
        <v>362</v>
      </c>
      <c r="B293" t="s">
        <v>43</v>
      </c>
      <c r="C293" t="s">
        <v>47</v>
      </c>
      <c r="D293" t="s">
        <v>59</v>
      </c>
      <c r="E293" t="s">
        <v>29</v>
      </c>
      <c r="F293" t="s">
        <v>76</v>
      </c>
      <c r="G293" t="s">
        <v>55</v>
      </c>
      <c r="H293" t="s">
        <v>40</v>
      </c>
      <c r="I293" t="s">
        <v>41</v>
      </c>
      <c r="J293" s="2">
        <v>45263</v>
      </c>
      <c r="K293" s="2">
        <v>45266</v>
      </c>
      <c r="L293" s="2">
        <v>45276</v>
      </c>
      <c r="M293" s="2">
        <v>45280</v>
      </c>
      <c r="N293" s="2">
        <v>45288</v>
      </c>
      <c r="O293">
        <v>1</v>
      </c>
      <c r="P293">
        <v>1</v>
      </c>
      <c r="Q293">
        <v>1</v>
      </c>
      <c r="R293">
        <v>0</v>
      </c>
      <c r="S293">
        <v>0</v>
      </c>
      <c r="T293" t="s">
        <v>49</v>
      </c>
      <c r="U293">
        <v>62</v>
      </c>
      <c r="W293">
        <v>13</v>
      </c>
      <c r="X293">
        <v>2143905</v>
      </c>
      <c r="Y293" t="s">
        <v>68</v>
      </c>
    </row>
    <row r="294" spans="1:25">
      <c r="A294" s="1" t="s">
        <v>363</v>
      </c>
      <c r="B294" t="s">
        <v>90</v>
      </c>
      <c r="C294" t="s">
        <v>78</v>
      </c>
      <c r="D294" t="s">
        <v>44</v>
      </c>
      <c r="E294" t="s">
        <v>29</v>
      </c>
      <c r="F294" t="s">
        <v>38</v>
      </c>
      <c r="G294" t="s">
        <v>60</v>
      </c>
      <c r="H294" t="s">
        <v>32</v>
      </c>
      <c r="I294" t="s">
        <v>41</v>
      </c>
      <c r="J294" s="2">
        <v>45047</v>
      </c>
      <c r="K294" s="2">
        <v>45049</v>
      </c>
      <c r="L294" s="2">
        <v>45052</v>
      </c>
      <c r="M294" s="2">
        <v>45057</v>
      </c>
      <c r="N294" s="2">
        <v>45071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74</v>
      </c>
      <c r="U294">
        <v>55</v>
      </c>
      <c r="W294">
        <v>9</v>
      </c>
    </row>
    <row r="295" spans="1:25">
      <c r="A295" s="1" t="s">
        <v>364</v>
      </c>
      <c r="B295" t="s">
        <v>70</v>
      </c>
      <c r="C295" t="s">
        <v>71</v>
      </c>
      <c r="D295" t="s">
        <v>44</v>
      </c>
      <c r="E295" t="s">
        <v>102</v>
      </c>
      <c r="F295" t="s">
        <v>30</v>
      </c>
      <c r="G295" t="s">
        <v>45</v>
      </c>
      <c r="H295" t="s">
        <v>56</v>
      </c>
      <c r="I295" t="s">
        <v>41</v>
      </c>
      <c r="J295" s="2">
        <v>45259</v>
      </c>
      <c r="K295" s="2">
        <v>45261</v>
      </c>
      <c r="L295" s="2">
        <v>45271</v>
      </c>
      <c r="M295" s="2">
        <v>45273</v>
      </c>
      <c r="N295" s="2">
        <v>45298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74</v>
      </c>
      <c r="U295">
        <v>67</v>
      </c>
      <c r="W295">
        <v>6</v>
      </c>
    </row>
    <row r="296" spans="1:25">
      <c r="A296" s="1" t="s">
        <v>365</v>
      </c>
      <c r="B296" t="s">
        <v>90</v>
      </c>
      <c r="C296" t="s">
        <v>47</v>
      </c>
      <c r="D296" t="s">
        <v>28</v>
      </c>
      <c r="E296" t="s">
        <v>54</v>
      </c>
      <c r="F296" t="s">
        <v>76</v>
      </c>
      <c r="G296" t="s">
        <v>39</v>
      </c>
      <c r="H296" t="s">
        <v>56</v>
      </c>
      <c r="I296" t="s">
        <v>33</v>
      </c>
      <c r="J296" s="2">
        <v>45013</v>
      </c>
      <c r="K296" s="2">
        <v>45017</v>
      </c>
      <c r="L296" s="2">
        <v>45023</v>
      </c>
      <c r="M296" s="2">
        <v>45027</v>
      </c>
      <c r="N296" s="2">
        <v>45048</v>
      </c>
      <c r="O296">
        <v>1</v>
      </c>
      <c r="P296">
        <v>1</v>
      </c>
      <c r="Q296">
        <v>1</v>
      </c>
      <c r="R296">
        <v>1</v>
      </c>
      <c r="S296">
        <v>0</v>
      </c>
      <c r="T296" t="s">
        <v>61</v>
      </c>
      <c r="U296">
        <v>75</v>
      </c>
      <c r="V296">
        <v>35</v>
      </c>
      <c r="W296">
        <v>8</v>
      </c>
      <c r="X296">
        <v>2007760</v>
      </c>
    </row>
    <row r="297" spans="1:25">
      <c r="A297" s="1" t="s">
        <v>366</v>
      </c>
      <c r="B297" t="s">
        <v>43</v>
      </c>
      <c r="C297" t="s">
        <v>27</v>
      </c>
      <c r="D297" t="s">
        <v>73</v>
      </c>
      <c r="E297" t="s">
        <v>63</v>
      </c>
      <c r="F297" t="s">
        <v>64</v>
      </c>
      <c r="G297" t="s">
        <v>39</v>
      </c>
      <c r="H297" t="s">
        <v>56</v>
      </c>
      <c r="I297" t="s">
        <v>33</v>
      </c>
      <c r="J297" s="2">
        <v>44988</v>
      </c>
      <c r="K297" s="2">
        <v>44993</v>
      </c>
      <c r="L297" s="2">
        <v>44999</v>
      </c>
      <c r="M297" s="2">
        <v>45004</v>
      </c>
      <c r="N297" s="2">
        <v>45011</v>
      </c>
      <c r="O297">
        <v>1</v>
      </c>
      <c r="P297">
        <v>1</v>
      </c>
      <c r="Q297">
        <v>0</v>
      </c>
      <c r="R297">
        <v>0</v>
      </c>
      <c r="S297">
        <v>0</v>
      </c>
      <c r="T297" t="s">
        <v>34</v>
      </c>
      <c r="U297">
        <v>77</v>
      </c>
      <c r="W297">
        <v>0</v>
      </c>
    </row>
    <row r="298" spans="1:25">
      <c r="A298" s="1" t="s">
        <v>367</v>
      </c>
      <c r="B298" t="s">
        <v>43</v>
      </c>
      <c r="C298" t="s">
        <v>27</v>
      </c>
      <c r="D298" t="s">
        <v>44</v>
      </c>
      <c r="E298" t="s">
        <v>102</v>
      </c>
      <c r="F298" t="s">
        <v>67</v>
      </c>
      <c r="G298" t="s">
        <v>55</v>
      </c>
      <c r="H298" t="s">
        <v>32</v>
      </c>
      <c r="I298" t="s">
        <v>33</v>
      </c>
      <c r="J298" s="2">
        <v>45291</v>
      </c>
      <c r="K298" s="2">
        <v>45294</v>
      </c>
      <c r="L298" s="2">
        <v>45297</v>
      </c>
      <c r="M298" s="2">
        <v>45302</v>
      </c>
      <c r="N298" s="2">
        <v>45319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34</v>
      </c>
      <c r="U298">
        <v>77</v>
      </c>
      <c r="W298">
        <v>2</v>
      </c>
    </row>
    <row r="299" spans="1:25">
      <c r="A299" s="1" t="s">
        <v>368</v>
      </c>
      <c r="B299" t="s">
        <v>58</v>
      </c>
      <c r="C299" t="s">
        <v>71</v>
      </c>
      <c r="D299" t="s">
        <v>44</v>
      </c>
      <c r="E299" t="s">
        <v>66</v>
      </c>
      <c r="F299" t="s">
        <v>64</v>
      </c>
      <c r="G299" t="s">
        <v>39</v>
      </c>
      <c r="H299" t="s">
        <v>56</v>
      </c>
      <c r="I299" t="s">
        <v>41</v>
      </c>
      <c r="J299" s="2">
        <v>45041</v>
      </c>
      <c r="K299" s="2">
        <v>45042</v>
      </c>
      <c r="L299" s="2">
        <v>45047</v>
      </c>
      <c r="M299" s="2">
        <v>45050</v>
      </c>
      <c r="N299" s="2">
        <v>45052</v>
      </c>
      <c r="O299">
        <v>1</v>
      </c>
      <c r="P299">
        <v>0</v>
      </c>
      <c r="Q299">
        <v>0</v>
      </c>
      <c r="R299">
        <v>0</v>
      </c>
      <c r="S299">
        <v>0</v>
      </c>
      <c r="T299" t="s">
        <v>34</v>
      </c>
      <c r="U299">
        <v>61</v>
      </c>
      <c r="W299">
        <v>7</v>
      </c>
    </row>
    <row r="300" spans="1:25">
      <c r="A300" s="1" t="s">
        <v>369</v>
      </c>
      <c r="B300" t="s">
        <v>58</v>
      </c>
      <c r="C300" t="s">
        <v>27</v>
      </c>
      <c r="D300" t="s">
        <v>73</v>
      </c>
      <c r="E300" t="s">
        <v>54</v>
      </c>
      <c r="F300" t="s">
        <v>64</v>
      </c>
      <c r="G300" t="s">
        <v>31</v>
      </c>
      <c r="H300" t="s">
        <v>56</v>
      </c>
      <c r="I300" t="s">
        <v>41</v>
      </c>
      <c r="J300" s="2">
        <v>45308</v>
      </c>
      <c r="K300" s="2">
        <v>45310</v>
      </c>
      <c r="L300" s="2">
        <v>45315</v>
      </c>
      <c r="M300" s="2">
        <v>45317</v>
      </c>
      <c r="N300" s="2">
        <v>45320</v>
      </c>
      <c r="O300">
        <v>1</v>
      </c>
      <c r="P300">
        <v>0</v>
      </c>
      <c r="Q300">
        <v>0</v>
      </c>
      <c r="R300">
        <v>0</v>
      </c>
      <c r="S300">
        <v>0</v>
      </c>
      <c r="T300" t="s">
        <v>34</v>
      </c>
      <c r="U300">
        <v>46</v>
      </c>
      <c r="W300">
        <v>1</v>
      </c>
    </row>
    <row r="301" spans="1:25">
      <c r="A301" s="1" t="s">
        <v>370</v>
      </c>
      <c r="B301" t="s">
        <v>90</v>
      </c>
      <c r="C301" t="s">
        <v>71</v>
      </c>
      <c r="D301" t="s">
        <v>28</v>
      </c>
      <c r="E301" t="s">
        <v>54</v>
      </c>
      <c r="F301" t="s">
        <v>76</v>
      </c>
      <c r="G301" t="s">
        <v>45</v>
      </c>
      <c r="H301" t="s">
        <v>40</v>
      </c>
      <c r="I301" t="s">
        <v>33</v>
      </c>
      <c r="J301" s="2">
        <v>45039</v>
      </c>
      <c r="K301" s="2">
        <v>45044</v>
      </c>
      <c r="L301" s="2">
        <v>45053</v>
      </c>
      <c r="M301" s="2">
        <v>45056</v>
      </c>
      <c r="N301" s="2">
        <v>45067</v>
      </c>
      <c r="O301">
        <v>1</v>
      </c>
      <c r="P301">
        <v>0</v>
      </c>
      <c r="Q301">
        <v>0</v>
      </c>
      <c r="R301">
        <v>0</v>
      </c>
      <c r="S301">
        <v>0</v>
      </c>
      <c r="T301" t="s">
        <v>34</v>
      </c>
      <c r="U301">
        <v>62</v>
      </c>
      <c r="W301">
        <v>5</v>
      </c>
    </row>
    <row r="302" spans="1:25">
      <c r="A302" s="1" t="s">
        <v>371</v>
      </c>
      <c r="B302" t="s">
        <v>26</v>
      </c>
      <c r="C302" t="s">
        <v>37</v>
      </c>
      <c r="D302" t="s">
        <v>59</v>
      </c>
      <c r="E302" t="s">
        <v>54</v>
      </c>
      <c r="F302" t="s">
        <v>64</v>
      </c>
      <c r="G302" t="s">
        <v>60</v>
      </c>
      <c r="H302" t="s">
        <v>40</v>
      </c>
      <c r="I302" t="s">
        <v>41</v>
      </c>
      <c r="J302" s="2">
        <v>45368</v>
      </c>
      <c r="K302" s="2">
        <v>45370</v>
      </c>
      <c r="L302" s="2">
        <v>45376</v>
      </c>
      <c r="M302" s="2">
        <v>45379</v>
      </c>
      <c r="N302" s="2">
        <v>45382</v>
      </c>
      <c r="O302">
        <v>1</v>
      </c>
      <c r="P302">
        <v>0</v>
      </c>
      <c r="Q302">
        <v>0</v>
      </c>
      <c r="R302">
        <v>0</v>
      </c>
      <c r="S302">
        <v>0</v>
      </c>
      <c r="T302" t="s">
        <v>34</v>
      </c>
      <c r="U302">
        <v>45</v>
      </c>
      <c r="W302">
        <v>1</v>
      </c>
    </row>
    <row r="303" spans="1:25">
      <c r="A303" s="1" t="s">
        <v>372</v>
      </c>
      <c r="B303" t="s">
        <v>26</v>
      </c>
      <c r="C303" t="s">
        <v>27</v>
      </c>
      <c r="D303" t="s">
        <v>73</v>
      </c>
      <c r="E303" t="s">
        <v>54</v>
      </c>
      <c r="F303" t="s">
        <v>30</v>
      </c>
      <c r="G303" t="s">
        <v>45</v>
      </c>
      <c r="H303" t="s">
        <v>56</v>
      </c>
      <c r="I303" t="s">
        <v>33</v>
      </c>
      <c r="J303" s="2">
        <v>45415</v>
      </c>
      <c r="K303" s="2">
        <v>45416</v>
      </c>
      <c r="L303" s="2">
        <v>45419</v>
      </c>
      <c r="M303" s="2">
        <v>45422</v>
      </c>
      <c r="N303" s="2">
        <v>45433</v>
      </c>
      <c r="O303">
        <v>1</v>
      </c>
      <c r="P303">
        <v>1</v>
      </c>
      <c r="Q303">
        <v>1</v>
      </c>
      <c r="R303">
        <v>0</v>
      </c>
      <c r="S303">
        <v>0</v>
      </c>
      <c r="T303" t="s">
        <v>49</v>
      </c>
      <c r="U303">
        <v>98</v>
      </c>
      <c r="W303">
        <v>1</v>
      </c>
      <c r="X303">
        <v>630688</v>
      </c>
      <c r="Y303" t="s">
        <v>127</v>
      </c>
    </row>
    <row r="304" spans="1:25">
      <c r="A304" s="1" t="s">
        <v>373</v>
      </c>
      <c r="B304" t="s">
        <v>36</v>
      </c>
      <c r="C304" t="s">
        <v>78</v>
      </c>
      <c r="D304" t="s">
        <v>28</v>
      </c>
      <c r="E304" t="s">
        <v>102</v>
      </c>
      <c r="F304" t="s">
        <v>76</v>
      </c>
      <c r="G304" t="s">
        <v>39</v>
      </c>
      <c r="H304" t="s">
        <v>40</v>
      </c>
      <c r="I304" t="s">
        <v>41</v>
      </c>
      <c r="J304" s="2">
        <v>45085</v>
      </c>
      <c r="K304" s="2">
        <v>45086</v>
      </c>
      <c r="L304" s="2">
        <v>45090</v>
      </c>
      <c r="M304" s="2">
        <v>45092</v>
      </c>
      <c r="N304" s="2">
        <v>45104</v>
      </c>
      <c r="O304">
        <v>1</v>
      </c>
      <c r="P304">
        <v>1</v>
      </c>
      <c r="Q304">
        <v>1</v>
      </c>
      <c r="R304">
        <v>1</v>
      </c>
      <c r="S304">
        <v>0</v>
      </c>
      <c r="T304" t="s">
        <v>61</v>
      </c>
      <c r="U304">
        <v>73</v>
      </c>
      <c r="V304">
        <v>19</v>
      </c>
      <c r="W304">
        <v>8</v>
      </c>
      <c r="X304">
        <v>1456686</v>
      </c>
    </row>
    <row r="305" spans="1:24">
      <c r="A305" s="1" t="s">
        <v>374</v>
      </c>
      <c r="B305" t="s">
        <v>26</v>
      </c>
      <c r="C305" t="s">
        <v>27</v>
      </c>
      <c r="D305" t="s">
        <v>59</v>
      </c>
      <c r="E305" t="s">
        <v>29</v>
      </c>
      <c r="F305" t="s">
        <v>38</v>
      </c>
      <c r="G305" t="s">
        <v>45</v>
      </c>
      <c r="H305" t="s">
        <v>40</v>
      </c>
      <c r="I305" t="s">
        <v>33</v>
      </c>
      <c r="J305" s="2">
        <v>45139</v>
      </c>
      <c r="K305" s="2">
        <v>45143</v>
      </c>
      <c r="L305" s="2">
        <v>45149</v>
      </c>
      <c r="M305" s="2">
        <v>45153</v>
      </c>
      <c r="N305" s="2">
        <v>45152</v>
      </c>
      <c r="O305">
        <v>1</v>
      </c>
      <c r="P305">
        <v>1</v>
      </c>
      <c r="Q305">
        <v>0</v>
      </c>
      <c r="R305">
        <v>0</v>
      </c>
      <c r="S305">
        <v>0</v>
      </c>
      <c r="T305" t="s">
        <v>34</v>
      </c>
      <c r="U305">
        <v>69</v>
      </c>
      <c r="W305">
        <v>2</v>
      </c>
    </row>
    <row r="306" spans="1:24">
      <c r="A306" s="1" t="s">
        <v>375</v>
      </c>
      <c r="B306" t="s">
        <v>90</v>
      </c>
      <c r="C306" t="s">
        <v>37</v>
      </c>
      <c r="D306" t="s">
        <v>59</v>
      </c>
      <c r="E306" t="s">
        <v>63</v>
      </c>
      <c r="F306" t="s">
        <v>38</v>
      </c>
      <c r="G306" t="s">
        <v>60</v>
      </c>
      <c r="H306" t="s">
        <v>32</v>
      </c>
      <c r="I306" t="s">
        <v>33</v>
      </c>
      <c r="J306" s="2">
        <v>45207</v>
      </c>
      <c r="K306" s="2">
        <v>45210</v>
      </c>
      <c r="L306" s="2">
        <v>45215</v>
      </c>
      <c r="M306" s="2">
        <v>45220</v>
      </c>
      <c r="N306" s="2">
        <v>45241</v>
      </c>
      <c r="O306">
        <v>1</v>
      </c>
      <c r="P306">
        <v>0</v>
      </c>
      <c r="Q306">
        <v>0</v>
      </c>
      <c r="R306">
        <v>0</v>
      </c>
      <c r="S306">
        <v>0</v>
      </c>
      <c r="T306" t="s">
        <v>34</v>
      </c>
      <c r="U306">
        <v>52</v>
      </c>
      <c r="W306">
        <v>4</v>
      </c>
    </row>
    <row r="307" spans="1:24">
      <c r="A307" s="1" t="s">
        <v>376</v>
      </c>
      <c r="B307" t="s">
        <v>90</v>
      </c>
      <c r="C307" t="s">
        <v>27</v>
      </c>
      <c r="D307" t="s">
        <v>52</v>
      </c>
      <c r="E307" t="s">
        <v>54</v>
      </c>
      <c r="F307" t="s">
        <v>38</v>
      </c>
      <c r="G307" t="s">
        <v>31</v>
      </c>
      <c r="H307" t="s">
        <v>40</v>
      </c>
      <c r="I307" t="s">
        <v>41</v>
      </c>
      <c r="J307" s="2">
        <v>45151</v>
      </c>
      <c r="K307" s="2">
        <v>45155</v>
      </c>
      <c r="L307" s="2">
        <v>45159</v>
      </c>
      <c r="M307" s="2">
        <v>45161</v>
      </c>
      <c r="N307" s="2">
        <v>45174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74</v>
      </c>
      <c r="U307">
        <v>89</v>
      </c>
      <c r="W307">
        <v>1</v>
      </c>
    </row>
    <row r="308" spans="1:24">
      <c r="A308" s="1" t="s">
        <v>377</v>
      </c>
      <c r="B308" t="s">
        <v>58</v>
      </c>
      <c r="C308" t="s">
        <v>71</v>
      </c>
      <c r="D308" t="s">
        <v>52</v>
      </c>
      <c r="E308" t="s">
        <v>63</v>
      </c>
      <c r="F308" t="s">
        <v>64</v>
      </c>
      <c r="G308" t="s">
        <v>60</v>
      </c>
      <c r="H308" t="s">
        <v>32</v>
      </c>
      <c r="I308" t="s">
        <v>41</v>
      </c>
      <c r="J308" s="2">
        <v>45193</v>
      </c>
      <c r="K308" s="2">
        <v>45194</v>
      </c>
      <c r="L308" s="2">
        <v>45200</v>
      </c>
      <c r="M308" s="2">
        <v>45202</v>
      </c>
      <c r="N308" s="2">
        <v>45210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74</v>
      </c>
      <c r="U308">
        <v>48</v>
      </c>
      <c r="W308">
        <v>4</v>
      </c>
    </row>
    <row r="309" spans="1:24">
      <c r="A309" s="1" t="s">
        <v>378</v>
      </c>
      <c r="B309" t="s">
        <v>43</v>
      </c>
      <c r="C309" t="s">
        <v>37</v>
      </c>
      <c r="D309" t="s">
        <v>44</v>
      </c>
      <c r="E309" t="s">
        <v>102</v>
      </c>
      <c r="F309" t="s">
        <v>48</v>
      </c>
      <c r="G309" t="s">
        <v>60</v>
      </c>
      <c r="H309" t="s">
        <v>56</v>
      </c>
      <c r="I309" t="s">
        <v>33</v>
      </c>
      <c r="J309" s="2">
        <v>44991</v>
      </c>
      <c r="K309" s="2">
        <v>44994</v>
      </c>
      <c r="L309" s="2">
        <v>45001</v>
      </c>
      <c r="M309" s="2">
        <v>45007</v>
      </c>
      <c r="N309" s="2">
        <v>45015</v>
      </c>
      <c r="O309">
        <v>1</v>
      </c>
      <c r="P309">
        <v>1</v>
      </c>
      <c r="Q309">
        <v>1</v>
      </c>
      <c r="R309">
        <v>1</v>
      </c>
      <c r="S309">
        <v>0</v>
      </c>
      <c r="T309" t="s">
        <v>61</v>
      </c>
      <c r="U309">
        <v>53</v>
      </c>
      <c r="V309">
        <v>24</v>
      </c>
      <c r="W309">
        <v>3</v>
      </c>
      <c r="X309">
        <v>675289</v>
      </c>
    </row>
    <row r="310" spans="1:24">
      <c r="A310" s="1" t="s">
        <v>379</v>
      </c>
      <c r="B310" t="s">
        <v>36</v>
      </c>
      <c r="C310" t="s">
        <v>71</v>
      </c>
      <c r="D310" t="s">
        <v>59</v>
      </c>
      <c r="E310" t="s">
        <v>54</v>
      </c>
      <c r="F310" t="s">
        <v>76</v>
      </c>
      <c r="G310" t="s">
        <v>45</v>
      </c>
      <c r="H310" t="s">
        <v>40</v>
      </c>
      <c r="I310" t="s">
        <v>41</v>
      </c>
      <c r="J310" s="2">
        <v>45134</v>
      </c>
      <c r="K310" s="2">
        <v>45135</v>
      </c>
      <c r="L310" s="2">
        <v>45142</v>
      </c>
      <c r="M310" s="2">
        <v>45149</v>
      </c>
      <c r="N310" s="2">
        <v>45148</v>
      </c>
      <c r="O310">
        <v>1</v>
      </c>
      <c r="P310">
        <v>1</v>
      </c>
      <c r="Q310">
        <v>0</v>
      </c>
      <c r="R310">
        <v>0</v>
      </c>
      <c r="S310">
        <v>0</v>
      </c>
      <c r="T310" t="s">
        <v>34</v>
      </c>
      <c r="U310">
        <v>76</v>
      </c>
      <c r="W310">
        <v>5</v>
      </c>
    </row>
    <row r="311" spans="1:24">
      <c r="A311" s="1" t="s">
        <v>380</v>
      </c>
      <c r="B311" t="s">
        <v>70</v>
      </c>
      <c r="C311" t="s">
        <v>78</v>
      </c>
      <c r="D311" t="s">
        <v>28</v>
      </c>
      <c r="E311" t="s">
        <v>66</v>
      </c>
      <c r="F311" t="s">
        <v>64</v>
      </c>
      <c r="G311" t="s">
        <v>31</v>
      </c>
      <c r="H311" t="s">
        <v>32</v>
      </c>
      <c r="I311" t="s">
        <v>33</v>
      </c>
      <c r="J311" s="2">
        <v>45410</v>
      </c>
      <c r="K311" s="2">
        <v>45413</v>
      </c>
      <c r="L311" s="2">
        <v>45421</v>
      </c>
      <c r="M311" s="2">
        <v>45425</v>
      </c>
      <c r="N311" s="2">
        <v>45444</v>
      </c>
      <c r="O311">
        <v>1</v>
      </c>
      <c r="P311">
        <v>0</v>
      </c>
      <c r="Q311">
        <v>0</v>
      </c>
      <c r="R311">
        <v>0</v>
      </c>
      <c r="S311">
        <v>0</v>
      </c>
      <c r="T311" t="s">
        <v>34</v>
      </c>
      <c r="U311">
        <v>65</v>
      </c>
      <c r="W311">
        <v>9</v>
      </c>
    </row>
    <row r="312" spans="1:24">
      <c r="A312" s="1" t="s">
        <v>381</v>
      </c>
      <c r="B312" t="s">
        <v>26</v>
      </c>
      <c r="C312" t="s">
        <v>78</v>
      </c>
      <c r="D312" t="s">
        <v>28</v>
      </c>
      <c r="E312" t="s">
        <v>63</v>
      </c>
      <c r="F312" t="s">
        <v>67</v>
      </c>
      <c r="G312" t="s">
        <v>60</v>
      </c>
      <c r="H312" t="s">
        <v>40</v>
      </c>
      <c r="I312" t="s">
        <v>33</v>
      </c>
      <c r="J312" s="2">
        <v>45432</v>
      </c>
      <c r="K312" s="2">
        <v>45434</v>
      </c>
      <c r="L312" s="2">
        <v>45444</v>
      </c>
      <c r="M312" s="2">
        <v>45448</v>
      </c>
      <c r="N312" s="2">
        <v>45446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74</v>
      </c>
      <c r="U312">
        <v>84</v>
      </c>
      <c r="W312">
        <v>7</v>
      </c>
    </row>
    <row r="313" spans="1:24">
      <c r="A313" s="1" t="s">
        <v>382</v>
      </c>
      <c r="B313" t="s">
        <v>58</v>
      </c>
      <c r="C313" t="s">
        <v>78</v>
      </c>
      <c r="D313" t="s">
        <v>44</v>
      </c>
      <c r="E313" t="s">
        <v>63</v>
      </c>
      <c r="F313" t="s">
        <v>48</v>
      </c>
      <c r="G313" t="s">
        <v>45</v>
      </c>
      <c r="H313" t="s">
        <v>32</v>
      </c>
      <c r="I313" t="s">
        <v>41</v>
      </c>
      <c r="J313" s="2">
        <v>45179</v>
      </c>
      <c r="K313" s="2">
        <v>45180</v>
      </c>
      <c r="L313" s="2">
        <v>45186</v>
      </c>
      <c r="M313" s="2">
        <v>45188</v>
      </c>
      <c r="N313" s="2">
        <v>45200</v>
      </c>
      <c r="O313">
        <v>1</v>
      </c>
      <c r="P313">
        <v>1</v>
      </c>
      <c r="Q313">
        <v>1</v>
      </c>
      <c r="R313">
        <v>1</v>
      </c>
      <c r="S313">
        <v>0</v>
      </c>
      <c r="T313" t="s">
        <v>61</v>
      </c>
      <c r="U313">
        <v>93</v>
      </c>
      <c r="V313">
        <v>21</v>
      </c>
      <c r="W313">
        <v>8</v>
      </c>
      <c r="X313">
        <v>2070470</v>
      </c>
    </row>
    <row r="314" spans="1:24">
      <c r="A314" s="1" t="s">
        <v>383</v>
      </c>
      <c r="B314" t="s">
        <v>70</v>
      </c>
      <c r="C314" t="s">
        <v>27</v>
      </c>
      <c r="D314" t="s">
        <v>59</v>
      </c>
      <c r="E314" t="s">
        <v>29</v>
      </c>
      <c r="F314" t="s">
        <v>67</v>
      </c>
      <c r="G314" t="s">
        <v>55</v>
      </c>
      <c r="H314" t="s">
        <v>40</v>
      </c>
      <c r="I314" t="s">
        <v>41</v>
      </c>
      <c r="J314" s="2">
        <v>45415</v>
      </c>
      <c r="K314" s="2">
        <v>45419</v>
      </c>
      <c r="L314" s="2">
        <v>45428</v>
      </c>
      <c r="M314" s="2">
        <v>45433</v>
      </c>
      <c r="N314" s="2">
        <v>45453</v>
      </c>
      <c r="O314">
        <v>1</v>
      </c>
      <c r="P314">
        <v>1</v>
      </c>
      <c r="Q314">
        <v>0</v>
      </c>
      <c r="R314">
        <v>0</v>
      </c>
      <c r="S314">
        <v>0</v>
      </c>
      <c r="T314" t="s">
        <v>34</v>
      </c>
      <c r="U314">
        <v>79</v>
      </c>
      <c r="W314">
        <v>0</v>
      </c>
    </row>
    <row r="315" spans="1:24">
      <c r="A315" s="1" t="s">
        <v>384</v>
      </c>
      <c r="B315" t="s">
        <v>26</v>
      </c>
      <c r="C315" t="s">
        <v>47</v>
      </c>
      <c r="D315" t="s">
        <v>44</v>
      </c>
      <c r="E315" t="s">
        <v>63</v>
      </c>
      <c r="F315" t="s">
        <v>64</v>
      </c>
      <c r="G315" t="s">
        <v>55</v>
      </c>
      <c r="H315" t="s">
        <v>40</v>
      </c>
      <c r="I315" t="s">
        <v>33</v>
      </c>
      <c r="J315" s="2">
        <v>45320</v>
      </c>
      <c r="K315" s="2">
        <v>45324</v>
      </c>
      <c r="L315" s="2">
        <v>45329</v>
      </c>
      <c r="M315" s="2">
        <v>45335</v>
      </c>
      <c r="N315" s="2">
        <v>45334</v>
      </c>
      <c r="O315">
        <v>1</v>
      </c>
      <c r="P315">
        <v>0</v>
      </c>
      <c r="Q315">
        <v>0</v>
      </c>
      <c r="R315">
        <v>0</v>
      </c>
      <c r="S315">
        <v>0</v>
      </c>
      <c r="T315" t="s">
        <v>34</v>
      </c>
      <c r="U315">
        <v>84</v>
      </c>
      <c r="W315">
        <v>14</v>
      </c>
    </row>
    <row r="316" spans="1:24">
      <c r="A316" s="1" t="s">
        <v>385</v>
      </c>
      <c r="B316" t="s">
        <v>43</v>
      </c>
      <c r="C316" t="s">
        <v>27</v>
      </c>
      <c r="D316" t="s">
        <v>52</v>
      </c>
      <c r="E316" t="s">
        <v>29</v>
      </c>
      <c r="F316" t="s">
        <v>76</v>
      </c>
      <c r="G316" t="s">
        <v>55</v>
      </c>
      <c r="H316" t="s">
        <v>56</v>
      </c>
      <c r="I316" t="s">
        <v>33</v>
      </c>
      <c r="J316" s="2">
        <v>45129</v>
      </c>
      <c r="K316" s="2">
        <v>45134</v>
      </c>
      <c r="L316" s="2">
        <v>45140</v>
      </c>
      <c r="M316" s="2">
        <v>45143</v>
      </c>
      <c r="N316" s="2">
        <v>45156</v>
      </c>
      <c r="O316">
        <v>1</v>
      </c>
      <c r="P316">
        <v>0</v>
      </c>
      <c r="Q316">
        <v>0</v>
      </c>
      <c r="R316">
        <v>0</v>
      </c>
      <c r="S316">
        <v>0</v>
      </c>
      <c r="T316" t="s">
        <v>34</v>
      </c>
      <c r="U316">
        <v>53</v>
      </c>
      <c r="W316">
        <v>1</v>
      </c>
    </row>
    <row r="317" spans="1:24">
      <c r="A317" s="1" t="s">
        <v>386</v>
      </c>
      <c r="B317" t="s">
        <v>90</v>
      </c>
      <c r="C317" t="s">
        <v>71</v>
      </c>
      <c r="D317" t="s">
        <v>59</v>
      </c>
      <c r="E317" t="s">
        <v>63</v>
      </c>
      <c r="F317" t="s">
        <v>48</v>
      </c>
      <c r="G317" t="s">
        <v>60</v>
      </c>
      <c r="H317" t="s">
        <v>32</v>
      </c>
      <c r="I317" t="s">
        <v>33</v>
      </c>
      <c r="J317" s="2">
        <v>45470</v>
      </c>
      <c r="K317" s="2">
        <v>45474</v>
      </c>
      <c r="L317" s="2">
        <v>45482</v>
      </c>
      <c r="M317" s="2">
        <v>45487</v>
      </c>
      <c r="N317" s="2">
        <v>45500</v>
      </c>
      <c r="O317">
        <v>1</v>
      </c>
      <c r="P317">
        <v>0</v>
      </c>
      <c r="Q317">
        <v>0</v>
      </c>
      <c r="R317">
        <v>0</v>
      </c>
      <c r="S317">
        <v>0</v>
      </c>
      <c r="T317" t="s">
        <v>34</v>
      </c>
      <c r="U317">
        <v>81</v>
      </c>
      <c r="W317">
        <v>7</v>
      </c>
    </row>
    <row r="318" spans="1:24">
      <c r="A318" s="1" t="s">
        <v>387</v>
      </c>
      <c r="B318" t="s">
        <v>43</v>
      </c>
      <c r="C318" t="s">
        <v>27</v>
      </c>
      <c r="D318" t="s">
        <v>28</v>
      </c>
      <c r="E318" t="s">
        <v>29</v>
      </c>
      <c r="F318" t="s">
        <v>67</v>
      </c>
      <c r="G318" t="s">
        <v>45</v>
      </c>
      <c r="H318" t="s">
        <v>56</v>
      </c>
      <c r="I318" t="s">
        <v>41</v>
      </c>
      <c r="J318" s="2">
        <v>44974</v>
      </c>
      <c r="K318" s="2">
        <v>44979</v>
      </c>
      <c r="L318" s="2">
        <v>44984</v>
      </c>
      <c r="M318" s="2">
        <v>44986</v>
      </c>
      <c r="N318" s="2">
        <v>44997</v>
      </c>
      <c r="O318">
        <v>1</v>
      </c>
      <c r="P318">
        <v>1</v>
      </c>
      <c r="Q318">
        <v>0</v>
      </c>
      <c r="R318">
        <v>0</v>
      </c>
      <c r="S318">
        <v>0</v>
      </c>
      <c r="T318" t="s">
        <v>34</v>
      </c>
      <c r="U318">
        <v>79</v>
      </c>
      <c r="W318">
        <v>2</v>
      </c>
    </row>
    <row r="319" spans="1:24">
      <c r="A319" s="1" t="s">
        <v>388</v>
      </c>
      <c r="B319" t="s">
        <v>43</v>
      </c>
      <c r="C319" t="s">
        <v>47</v>
      </c>
      <c r="D319" t="s">
        <v>28</v>
      </c>
      <c r="E319" t="s">
        <v>54</v>
      </c>
      <c r="F319" t="s">
        <v>38</v>
      </c>
      <c r="G319" t="s">
        <v>45</v>
      </c>
      <c r="H319" t="s">
        <v>40</v>
      </c>
      <c r="I319" t="s">
        <v>41</v>
      </c>
      <c r="J319" s="2">
        <v>45390</v>
      </c>
      <c r="K319" s="2">
        <v>45395</v>
      </c>
      <c r="L319" s="2">
        <v>45405</v>
      </c>
      <c r="M319" s="2">
        <v>45412</v>
      </c>
      <c r="N319" s="2">
        <v>45413</v>
      </c>
      <c r="O319">
        <v>1</v>
      </c>
      <c r="P319">
        <v>1</v>
      </c>
      <c r="Q319">
        <v>1</v>
      </c>
      <c r="R319">
        <v>1</v>
      </c>
      <c r="S319">
        <v>0</v>
      </c>
      <c r="T319" t="s">
        <v>61</v>
      </c>
      <c r="U319">
        <v>91</v>
      </c>
      <c r="V319">
        <v>23</v>
      </c>
      <c r="W319">
        <v>15</v>
      </c>
      <c r="X319">
        <v>3034914</v>
      </c>
    </row>
    <row r="320" spans="1:24">
      <c r="A320" s="1" t="s">
        <v>389</v>
      </c>
      <c r="B320" t="s">
        <v>43</v>
      </c>
      <c r="C320" t="s">
        <v>47</v>
      </c>
      <c r="D320" t="s">
        <v>28</v>
      </c>
      <c r="E320" t="s">
        <v>66</v>
      </c>
      <c r="F320" t="s">
        <v>38</v>
      </c>
      <c r="G320" t="s">
        <v>60</v>
      </c>
      <c r="H320" t="s">
        <v>56</v>
      </c>
      <c r="I320" t="s">
        <v>33</v>
      </c>
      <c r="J320" s="2">
        <v>45260</v>
      </c>
      <c r="K320" s="2">
        <v>45261</v>
      </c>
      <c r="L320" s="2">
        <v>45266</v>
      </c>
      <c r="M320" s="2">
        <v>45270</v>
      </c>
      <c r="N320" s="2">
        <v>45281</v>
      </c>
      <c r="O320">
        <v>1</v>
      </c>
      <c r="P320">
        <v>1</v>
      </c>
      <c r="Q320">
        <v>0</v>
      </c>
      <c r="R320">
        <v>0</v>
      </c>
      <c r="S320">
        <v>0</v>
      </c>
      <c r="T320" t="s">
        <v>34</v>
      </c>
      <c r="U320">
        <v>94</v>
      </c>
      <c r="W320">
        <v>15</v>
      </c>
    </row>
    <row r="321" spans="1:25">
      <c r="A321" s="1" t="s">
        <v>390</v>
      </c>
      <c r="B321" t="s">
        <v>70</v>
      </c>
      <c r="C321" t="s">
        <v>71</v>
      </c>
      <c r="D321" t="s">
        <v>52</v>
      </c>
      <c r="E321" t="s">
        <v>63</v>
      </c>
      <c r="F321" t="s">
        <v>30</v>
      </c>
      <c r="G321" t="s">
        <v>55</v>
      </c>
      <c r="H321" t="s">
        <v>32</v>
      </c>
      <c r="I321" t="s">
        <v>41</v>
      </c>
      <c r="J321" s="2">
        <v>44948</v>
      </c>
      <c r="K321" s="2">
        <v>44953</v>
      </c>
      <c r="L321" s="2">
        <v>44963</v>
      </c>
      <c r="M321" s="2">
        <v>44968</v>
      </c>
      <c r="N321" s="2">
        <v>44977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74</v>
      </c>
      <c r="U321">
        <v>54</v>
      </c>
      <c r="W321">
        <v>4</v>
      </c>
    </row>
    <row r="322" spans="1:25">
      <c r="A322" s="1" t="s">
        <v>391</v>
      </c>
      <c r="B322" t="s">
        <v>26</v>
      </c>
      <c r="C322" t="s">
        <v>37</v>
      </c>
      <c r="D322" t="s">
        <v>59</v>
      </c>
      <c r="E322" t="s">
        <v>54</v>
      </c>
      <c r="F322" t="s">
        <v>48</v>
      </c>
      <c r="G322" t="s">
        <v>39</v>
      </c>
      <c r="H322" t="s">
        <v>40</v>
      </c>
      <c r="I322" t="s">
        <v>41</v>
      </c>
      <c r="J322" s="2">
        <v>45450</v>
      </c>
      <c r="K322" s="2">
        <v>45452</v>
      </c>
      <c r="L322" s="2">
        <v>45455</v>
      </c>
      <c r="M322" s="2">
        <v>45461</v>
      </c>
      <c r="N322" s="2">
        <v>45472</v>
      </c>
      <c r="O322">
        <v>1</v>
      </c>
      <c r="P322">
        <v>1</v>
      </c>
      <c r="Q322">
        <v>1</v>
      </c>
      <c r="R322">
        <v>1</v>
      </c>
      <c r="S322">
        <v>0</v>
      </c>
      <c r="T322" t="s">
        <v>61</v>
      </c>
      <c r="U322">
        <v>58</v>
      </c>
      <c r="V322">
        <v>22</v>
      </c>
      <c r="W322">
        <v>1</v>
      </c>
      <c r="X322">
        <v>839070</v>
      </c>
    </row>
    <row r="323" spans="1:25">
      <c r="A323" s="1" t="s">
        <v>392</v>
      </c>
      <c r="B323" t="s">
        <v>70</v>
      </c>
      <c r="C323" t="s">
        <v>27</v>
      </c>
      <c r="D323" t="s">
        <v>28</v>
      </c>
      <c r="E323" t="s">
        <v>29</v>
      </c>
      <c r="F323" t="s">
        <v>48</v>
      </c>
      <c r="G323" t="s">
        <v>31</v>
      </c>
      <c r="H323" t="s">
        <v>56</v>
      </c>
      <c r="I323" t="s">
        <v>41</v>
      </c>
      <c r="J323" s="2">
        <v>45015</v>
      </c>
      <c r="K323" s="2">
        <v>45018</v>
      </c>
      <c r="L323" s="2">
        <v>45027</v>
      </c>
      <c r="M323" s="2">
        <v>45029</v>
      </c>
      <c r="N323" s="2">
        <v>45042</v>
      </c>
      <c r="O323">
        <v>1</v>
      </c>
      <c r="P323">
        <v>0</v>
      </c>
      <c r="Q323">
        <v>0</v>
      </c>
      <c r="R323">
        <v>0</v>
      </c>
      <c r="S323">
        <v>0</v>
      </c>
      <c r="T323" t="s">
        <v>34</v>
      </c>
      <c r="U323">
        <v>91</v>
      </c>
      <c r="W323">
        <v>0</v>
      </c>
    </row>
    <row r="324" spans="1:25">
      <c r="A324" s="1" t="s">
        <v>393</v>
      </c>
      <c r="B324" t="s">
        <v>70</v>
      </c>
      <c r="C324" t="s">
        <v>27</v>
      </c>
      <c r="D324" t="s">
        <v>52</v>
      </c>
      <c r="E324" t="s">
        <v>102</v>
      </c>
      <c r="F324" t="s">
        <v>30</v>
      </c>
      <c r="G324" t="s">
        <v>39</v>
      </c>
      <c r="H324" t="s">
        <v>40</v>
      </c>
      <c r="I324" t="s">
        <v>33</v>
      </c>
      <c r="J324" s="2">
        <v>45254</v>
      </c>
      <c r="K324" s="2">
        <v>45256</v>
      </c>
      <c r="L324" s="2">
        <v>45261</v>
      </c>
      <c r="M324" s="2">
        <v>45263</v>
      </c>
      <c r="N324" s="2">
        <v>45290</v>
      </c>
      <c r="O324">
        <v>1</v>
      </c>
      <c r="P324">
        <v>1</v>
      </c>
      <c r="Q324">
        <v>1</v>
      </c>
      <c r="R324">
        <v>1</v>
      </c>
      <c r="S324">
        <v>0</v>
      </c>
      <c r="T324" t="s">
        <v>61</v>
      </c>
      <c r="U324">
        <v>80</v>
      </c>
      <c r="V324">
        <v>36</v>
      </c>
      <c r="W324">
        <v>0</v>
      </c>
      <c r="X324">
        <v>569807</v>
      </c>
    </row>
    <row r="325" spans="1:25">
      <c r="A325" s="1" t="s">
        <v>394</v>
      </c>
      <c r="B325" t="s">
        <v>26</v>
      </c>
      <c r="C325" t="s">
        <v>71</v>
      </c>
      <c r="D325" t="s">
        <v>73</v>
      </c>
      <c r="E325" t="s">
        <v>66</v>
      </c>
      <c r="F325" t="s">
        <v>48</v>
      </c>
      <c r="G325" t="s">
        <v>60</v>
      </c>
      <c r="H325" t="s">
        <v>56</v>
      </c>
      <c r="I325" t="s">
        <v>33</v>
      </c>
      <c r="J325" s="2">
        <v>45004</v>
      </c>
      <c r="K325" s="2">
        <v>45008</v>
      </c>
      <c r="L325" s="2">
        <v>45012</v>
      </c>
      <c r="M325" s="2">
        <v>45019</v>
      </c>
      <c r="N325" s="2">
        <v>45020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74</v>
      </c>
      <c r="U325">
        <v>61</v>
      </c>
      <c r="W325">
        <v>5</v>
      </c>
    </row>
    <row r="326" spans="1:25">
      <c r="A326" s="1" t="s">
        <v>395</v>
      </c>
      <c r="B326" t="s">
        <v>26</v>
      </c>
      <c r="C326" t="s">
        <v>37</v>
      </c>
      <c r="D326" t="s">
        <v>59</v>
      </c>
      <c r="E326" t="s">
        <v>54</v>
      </c>
      <c r="F326" t="s">
        <v>76</v>
      </c>
      <c r="G326" t="s">
        <v>45</v>
      </c>
      <c r="H326" t="s">
        <v>40</v>
      </c>
      <c r="I326" t="s">
        <v>33</v>
      </c>
      <c r="J326" s="2">
        <v>44959</v>
      </c>
      <c r="K326" s="2">
        <v>44963</v>
      </c>
      <c r="L326" s="2">
        <v>44972</v>
      </c>
      <c r="M326" s="2">
        <v>44975</v>
      </c>
      <c r="N326" s="2">
        <v>44975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74</v>
      </c>
      <c r="U326">
        <v>60</v>
      </c>
      <c r="W326">
        <v>1</v>
      </c>
    </row>
    <row r="327" spans="1:25">
      <c r="A327" s="1" t="s">
        <v>396</v>
      </c>
      <c r="B327" t="s">
        <v>58</v>
      </c>
      <c r="C327" t="s">
        <v>27</v>
      </c>
      <c r="D327" t="s">
        <v>52</v>
      </c>
      <c r="E327" t="s">
        <v>66</v>
      </c>
      <c r="F327" t="s">
        <v>76</v>
      </c>
      <c r="G327" t="s">
        <v>60</v>
      </c>
      <c r="H327" t="s">
        <v>32</v>
      </c>
      <c r="I327" t="s">
        <v>41</v>
      </c>
      <c r="J327" s="2">
        <v>45331</v>
      </c>
      <c r="K327" s="2">
        <v>45335</v>
      </c>
      <c r="L327" s="2">
        <v>45344</v>
      </c>
      <c r="M327" s="2">
        <v>45351</v>
      </c>
      <c r="N327" s="2">
        <v>45347</v>
      </c>
      <c r="O327">
        <v>1</v>
      </c>
      <c r="P327">
        <v>1</v>
      </c>
      <c r="Q327">
        <v>1</v>
      </c>
      <c r="R327">
        <v>1</v>
      </c>
      <c r="S327">
        <v>0</v>
      </c>
      <c r="T327" t="s">
        <v>61</v>
      </c>
      <c r="U327">
        <v>52</v>
      </c>
      <c r="V327">
        <v>16</v>
      </c>
      <c r="W327">
        <v>2</v>
      </c>
      <c r="X327">
        <v>692160</v>
      </c>
    </row>
    <row r="328" spans="1:25">
      <c r="A328" s="1" t="s">
        <v>397</v>
      </c>
      <c r="B328" t="s">
        <v>26</v>
      </c>
      <c r="C328" t="s">
        <v>47</v>
      </c>
      <c r="D328" t="s">
        <v>44</v>
      </c>
      <c r="E328" t="s">
        <v>66</v>
      </c>
      <c r="F328" t="s">
        <v>30</v>
      </c>
      <c r="G328" t="s">
        <v>31</v>
      </c>
      <c r="H328" t="s">
        <v>40</v>
      </c>
      <c r="I328" t="s">
        <v>33</v>
      </c>
      <c r="J328" s="2">
        <v>45214</v>
      </c>
      <c r="K328" s="2">
        <v>45216</v>
      </c>
      <c r="L328" s="2">
        <v>45225</v>
      </c>
      <c r="M328" s="2">
        <v>45232</v>
      </c>
      <c r="N328" s="2">
        <v>45238</v>
      </c>
      <c r="O328">
        <v>1</v>
      </c>
      <c r="P328">
        <v>1</v>
      </c>
      <c r="Q328">
        <v>1</v>
      </c>
      <c r="R328">
        <v>1</v>
      </c>
      <c r="S328">
        <v>0</v>
      </c>
      <c r="T328" t="s">
        <v>61</v>
      </c>
      <c r="U328">
        <v>88</v>
      </c>
      <c r="V328">
        <v>24</v>
      </c>
      <c r="W328">
        <v>11</v>
      </c>
      <c r="X328">
        <v>2887954</v>
      </c>
    </row>
    <row r="329" spans="1:25">
      <c r="A329" s="1" t="s">
        <v>398</v>
      </c>
      <c r="B329" t="s">
        <v>90</v>
      </c>
      <c r="C329" t="s">
        <v>37</v>
      </c>
      <c r="D329" t="s">
        <v>73</v>
      </c>
      <c r="E329" t="s">
        <v>63</v>
      </c>
      <c r="F329" t="s">
        <v>76</v>
      </c>
      <c r="G329" t="s">
        <v>55</v>
      </c>
      <c r="H329" t="s">
        <v>32</v>
      </c>
      <c r="I329" t="s">
        <v>33</v>
      </c>
      <c r="J329" s="2">
        <v>45166</v>
      </c>
      <c r="K329" s="2">
        <v>45170</v>
      </c>
      <c r="L329" s="2">
        <v>45173</v>
      </c>
      <c r="M329" s="2">
        <v>45177</v>
      </c>
      <c r="N329" s="2">
        <v>45186</v>
      </c>
      <c r="O329">
        <v>1</v>
      </c>
      <c r="P329">
        <v>1</v>
      </c>
      <c r="Q329">
        <v>1</v>
      </c>
      <c r="R329">
        <v>0</v>
      </c>
      <c r="S329">
        <v>0</v>
      </c>
      <c r="T329" t="s">
        <v>49</v>
      </c>
      <c r="U329">
        <v>87</v>
      </c>
      <c r="W329">
        <v>1</v>
      </c>
      <c r="X329">
        <v>774327</v>
      </c>
      <c r="Y329" t="s">
        <v>50</v>
      </c>
    </row>
    <row r="330" spans="1:25">
      <c r="A330" s="1" t="s">
        <v>399</v>
      </c>
      <c r="B330" t="s">
        <v>70</v>
      </c>
      <c r="C330" t="s">
        <v>37</v>
      </c>
      <c r="D330" t="s">
        <v>59</v>
      </c>
      <c r="E330" t="s">
        <v>54</v>
      </c>
      <c r="F330" t="s">
        <v>48</v>
      </c>
      <c r="G330" t="s">
        <v>60</v>
      </c>
      <c r="H330" t="s">
        <v>32</v>
      </c>
      <c r="I330" t="s">
        <v>33</v>
      </c>
      <c r="J330" s="2">
        <v>45002</v>
      </c>
      <c r="K330" s="2">
        <v>45005</v>
      </c>
      <c r="L330" s="2">
        <v>45011</v>
      </c>
      <c r="M330" s="2">
        <v>45017</v>
      </c>
      <c r="N330" s="2">
        <v>45042</v>
      </c>
      <c r="O330">
        <v>1</v>
      </c>
      <c r="P330">
        <v>1</v>
      </c>
      <c r="Q330">
        <v>0</v>
      </c>
      <c r="R330">
        <v>0</v>
      </c>
      <c r="S330">
        <v>0</v>
      </c>
      <c r="T330" t="s">
        <v>34</v>
      </c>
      <c r="U330">
        <v>77</v>
      </c>
      <c r="W330">
        <v>4</v>
      </c>
    </row>
    <row r="331" spans="1:25">
      <c r="A331" s="1" t="s">
        <v>400</v>
      </c>
      <c r="B331" t="s">
        <v>26</v>
      </c>
      <c r="C331" t="s">
        <v>47</v>
      </c>
      <c r="D331" t="s">
        <v>73</v>
      </c>
      <c r="E331" t="s">
        <v>63</v>
      </c>
      <c r="F331" t="s">
        <v>48</v>
      </c>
      <c r="G331" t="s">
        <v>60</v>
      </c>
      <c r="H331" t="s">
        <v>56</v>
      </c>
      <c r="I331" t="s">
        <v>33</v>
      </c>
      <c r="J331" s="2">
        <v>45161</v>
      </c>
      <c r="K331" s="2">
        <v>45165</v>
      </c>
      <c r="L331" s="2">
        <v>45168</v>
      </c>
      <c r="M331" s="2">
        <v>45174</v>
      </c>
      <c r="N331" s="2">
        <v>45175</v>
      </c>
      <c r="O331">
        <v>1</v>
      </c>
      <c r="P331">
        <v>1</v>
      </c>
      <c r="Q331">
        <v>0</v>
      </c>
      <c r="R331">
        <v>0</v>
      </c>
      <c r="S331">
        <v>0</v>
      </c>
      <c r="T331" t="s">
        <v>34</v>
      </c>
      <c r="U331">
        <v>63</v>
      </c>
      <c r="W331">
        <v>9</v>
      </c>
    </row>
    <row r="332" spans="1:25">
      <c r="A332" s="1" t="s">
        <v>401</v>
      </c>
      <c r="B332" t="s">
        <v>70</v>
      </c>
      <c r="C332" t="s">
        <v>27</v>
      </c>
      <c r="D332" t="s">
        <v>59</v>
      </c>
      <c r="E332" t="s">
        <v>54</v>
      </c>
      <c r="F332" t="s">
        <v>38</v>
      </c>
      <c r="G332" t="s">
        <v>60</v>
      </c>
      <c r="H332" t="s">
        <v>56</v>
      </c>
      <c r="I332" t="s">
        <v>41</v>
      </c>
      <c r="J332" s="2">
        <v>45114</v>
      </c>
      <c r="K332" s="2">
        <v>45117</v>
      </c>
      <c r="L332" s="2">
        <v>45126</v>
      </c>
      <c r="M332" s="2">
        <v>45130</v>
      </c>
      <c r="N332" s="2">
        <v>45134</v>
      </c>
      <c r="O332">
        <v>1</v>
      </c>
      <c r="P332">
        <v>1</v>
      </c>
      <c r="Q332">
        <v>1</v>
      </c>
      <c r="R332">
        <v>1</v>
      </c>
      <c r="S332">
        <v>0</v>
      </c>
      <c r="T332" t="s">
        <v>61</v>
      </c>
      <c r="U332">
        <v>88</v>
      </c>
      <c r="V332">
        <v>20</v>
      </c>
      <c r="W332">
        <v>0</v>
      </c>
      <c r="X332">
        <v>569612</v>
      </c>
    </row>
    <row r="333" spans="1:25">
      <c r="A333" s="1" t="s">
        <v>402</v>
      </c>
      <c r="B333" t="s">
        <v>26</v>
      </c>
      <c r="C333" t="s">
        <v>71</v>
      </c>
      <c r="D333" t="s">
        <v>44</v>
      </c>
      <c r="E333" t="s">
        <v>54</v>
      </c>
      <c r="F333" t="s">
        <v>64</v>
      </c>
      <c r="G333" t="s">
        <v>55</v>
      </c>
      <c r="H333" t="s">
        <v>32</v>
      </c>
      <c r="I333" t="s">
        <v>41</v>
      </c>
      <c r="J333" s="2">
        <v>44956</v>
      </c>
      <c r="K333" s="2">
        <v>44960</v>
      </c>
      <c r="L333" s="2">
        <v>44969</v>
      </c>
      <c r="M333" s="2">
        <v>44973</v>
      </c>
      <c r="N333" s="2">
        <v>44971</v>
      </c>
      <c r="O333">
        <v>1</v>
      </c>
      <c r="P333">
        <v>1</v>
      </c>
      <c r="Q333">
        <v>1</v>
      </c>
      <c r="R333">
        <v>1</v>
      </c>
      <c r="S333">
        <v>0</v>
      </c>
      <c r="T333" t="s">
        <v>61</v>
      </c>
      <c r="U333">
        <v>98</v>
      </c>
      <c r="V333">
        <v>15</v>
      </c>
      <c r="W333">
        <v>3</v>
      </c>
      <c r="X333">
        <v>983262</v>
      </c>
    </row>
    <row r="334" spans="1:25">
      <c r="A334" s="1" t="s">
        <v>403</v>
      </c>
      <c r="B334" t="s">
        <v>36</v>
      </c>
      <c r="C334" t="s">
        <v>27</v>
      </c>
      <c r="D334" t="s">
        <v>44</v>
      </c>
      <c r="E334" t="s">
        <v>102</v>
      </c>
      <c r="F334" t="s">
        <v>38</v>
      </c>
      <c r="G334" t="s">
        <v>39</v>
      </c>
      <c r="H334" t="s">
        <v>40</v>
      </c>
      <c r="I334" t="s">
        <v>33</v>
      </c>
      <c r="J334" s="2">
        <v>45169</v>
      </c>
      <c r="K334" s="2">
        <v>45170</v>
      </c>
      <c r="L334" s="2">
        <v>45176</v>
      </c>
      <c r="M334" s="2">
        <v>45183</v>
      </c>
      <c r="N334" s="2">
        <v>45192</v>
      </c>
      <c r="O334">
        <v>1</v>
      </c>
      <c r="P334">
        <v>1</v>
      </c>
      <c r="Q334">
        <v>0</v>
      </c>
      <c r="R334">
        <v>0</v>
      </c>
      <c r="S334">
        <v>0</v>
      </c>
      <c r="T334" t="s">
        <v>34</v>
      </c>
      <c r="U334">
        <v>88</v>
      </c>
      <c r="W334">
        <v>0</v>
      </c>
    </row>
    <row r="335" spans="1:25">
      <c r="A335" s="1" t="s">
        <v>404</v>
      </c>
      <c r="B335" t="s">
        <v>90</v>
      </c>
      <c r="C335" t="s">
        <v>27</v>
      </c>
      <c r="D335" t="s">
        <v>73</v>
      </c>
      <c r="E335" t="s">
        <v>102</v>
      </c>
      <c r="F335" t="s">
        <v>30</v>
      </c>
      <c r="G335" t="s">
        <v>31</v>
      </c>
      <c r="H335" t="s">
        <v>56</v>
      </c>
      <c r="I335" t="s">
        <v>33</v>
      </c>
      <c r="J335" s="2">
        <v>45441</v>
      </c>
      <c r="K335" s="2">
        <v>45443</v>
      </c>
      <c r="L335" s="2">
        <v>45451</v>
      </c>
      <c r="M335" s="2">
        <v>45453</v>
      </c>
      <c r="N335" s="2">
        <v>45471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74</v>
      </c>
      <c r="U335">
        <v>66</v>
      </c>
      <c r="W335">
        <v>0</v>
      </c>
    </row>
    <row r="336" spans="1:25">
      <c r="A336" s="1" t="s">
        <v>405</v>
      </c>
      <c r="B336" t="s">
        <v>26</v>
      </c>
      <c r="C336" t="s">
        <v>78</v>
      </c>
      <c r="D336" t="s">
        <v>44</v>
      </c>
      <c r="E336" t="s">
        <v>29</v>
      </c>
      <c r="F336" t="s">
        <v>30</v>
      </c>
      <c r="G336" t="s">
        <v>55</v>
      </c>
      <c r="H336" t="s">
        <v>56</v>
      </c>
      <c r="I336" t="s">
        <v>33</v>
      </c>
      <c r="J336" s="2">
        <v>45012</v>
      </c>
      <c r="K336" s="2">
        <v>45013</v>
      </c>
      <c r="L336" s="2">
        <v>45022</v>
      </c>
      <c r="M336" s="2">
        <v>45028</v>
      </c>
      <c r="N336" s="2">
        <v>45025</v>
      </c>
      <c r="O336">
        <v>1</v>
      </c>
      <c r="P336">
        <v>0</v>
      </c>
      <c r="Q336">
        <v>0</v>
      </c>
      <c r="R336">
        <v>0</v>
      </c>
      <c r="S336">
        <v>0</v>
      </c>
      <c r="T336" t="s">
        <v>34</v>
      </c>
      <c r="U336">
        <v>73</v>
      </c>
      <c r="W336">
        <v>7</v>
      </c>
    </row>
    <row r="337" spans="1:25">
      <c r="A337" s="1" t="s">
        <v>406</v>
      </c>
      <c r="B337" t="s">
        <v>26</v>
      </c>
      <c r="C337" t="s">
        <v>78</v>
      </c>
      <c r="D337" t="s">
        <v>44</v>
      </c>
      <c r="E337" t="s">
        <v>102</v>
      </c>
      <c r="F337" t="s">
        <v>64</v>
      </c>
      <c r="G337" t="s">
        <v>45</v>
      </c>
      <c r="H337" t="s">
        <v>56</v>
      </c>
      <c r="I337" t="s">
        <v>41</v>
      </c>
      <c r="J337" s="2">
        <v>44940</v>
      </c>
      <c r="K337" s="2">
        <v>44941</v>
      </c>
      <c r="L337" s="2">
        <v>44948</v>
      </c>
      <c r="M337" s="2">
        <v>44954</v>
      </c>
      <c r="N337" s="2">
        <v>44957</v>
      </c>
      <c r="O337">
        <v>1</v>
      </c>
      <c r="P337">
        <v>1</v>
      </c>
      <c r="Q337">
        <v>1</v>
      </c>
      <c r="R337">
        <v>0</v>
      </c>
      <c r="S337">
        <v>0</v>
      </c>
      <c r="T337" t="s">
        <v>49</v>
      </c>
      <c r="U337">
        <v>58</v>
      </c>
      <c r="W337">
        <v>7</v>
      </c>
      <c r="X337">
        <v>2098013</v>
      </c>
      <c r="Y337" t="s">
        <v>68</v>
      </c>
    </row>
    <row r="338" spans="1:25">
      <c r="A338" s="1" t="s">
        <v>407</v>
      </c>
      <c r="B338" t="s">
        <v>26</v>
      </c>
      <c r="C338" t="s">
        <v>71</v>
      </c>
      <c r="D338" t="s">
        <v>44</v>
      </c>
      <c r="E338" t="s">
        <v>66</v>
      </c>
      <c r="F338" t="s">
        <v>48</v>
      </c>
      <c r="G338" t="s">
        <v>45</v>
      </c>
      <c r="H338" t="s">
        <v>56</v>
      </c>
      <c r="I338" t="s">
        <v>33</v>
      </c>
      <c r="J338" s="2">
        <v>45338</v>
      </c>
      <c r="K338" s="2">
        <v>45339</v>
      </c>
      <c r="L338" s="2">
        <v>45346</v>
      </c>
      <c r="M338" s="2">
        <v>45350</v>
      </c>
      <c r="N338" s="2">
        <v>45351</v>
      </c>
      <c r="O338">
        <v>1</v>
      </c>
      <c r="P338">
        <v>1</v>
      </c>
      <c r="Q338">
        <v>1</v>
      </c>
      <c r="R338">
        <v>1</v>
      </c>
      <c r="S338">
        <v>0</v>
      </c>
      <c r="T338" t="s">
        <v>61</v>
      </c>
      <c r="U338">
        <v>48</v>
      </c>
      <c r="V338">
        <v>13</v>
      </c>
      <c r="W338">
        <v>5</v>
      </c>
      <c r="X338">
        <v>875837</v>
      </c>
    </row>
    <row r="339" spans="1:25">
      <c r="A339" s="1" t="s">
        <v>408</v>
      </c>
      <c r="B339" t="s">
        <v>26</v>
      </c>
      <c r="C339" t="s">
        <v>71</v>
      </c>
      <c r="D339" t="s">
        <v>52</v>
      </c>
      <c r="E339" t="s">
        <v>63</v>
      </c>
      <c r="F339" t="s">
        <v>64</v>
      </c>
      <c r="G339" t="s">
        <v>31</v>
      </c>
      <c r="H339" t="s">
        <v>56</v>
      </c>
      <c r="I339" t="s">
        <v>33</v>
      </c>
      <c r="J339" s="2">
        <v>45020</v>
      </c>
      <c r="K339" s="2">
        <v>45022</v>
      </c>
      <c r="L339" s="2">
        <v>45027</v>
      </c>
      <c r="M339" s="2">
        <v>45032</v>
      </c>
      <c r="N339" s="2">
        <v>45037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74</v>
      </c>
      <c r="U339">
        <v>85</v>
      </c>
      <c r="W339">
        <v>6</v>
      </c>
    </row>
    <row r="340" spans="1:25">
      <c r="A340" s="1" t="s">
        <v>409</v>
      </c>
      <c r="B340" t="s">
        <v>36</v>
      </c>
      <c r="C340" t="s">
        <v>47</v>
      </c>
      <c r="D340" t="s">
        <v>44</v>
      </c>
      <c r="E340" t="s">
        <v>63</v>
      </c>
      <c r="F340" t="s">
        <v>64</v>
      </c>
      <c r="G340" t="s">
        <v>55</v>
      </c>
      <c r="H340" t="s">
        <v>32</v>
      </c>
      <c r="I340" t="s">
        <v>41</v>
      </c>
      <c r="J340" s="2">
        <v>45011</v>
      </c>
      <c r="K340" s="2">
        <v>45014</v>
      </c>
      <c r="L340" s="2">
        <v>45023</v>
      </c>
      <c r="M340" s="2">
        <v>45026</v>
      </c>
      <c r="N340" s="2">
        <v>45036</v>
      </c>
      <c r="O340">
        <v>1</v>
      </c>
      <c r="P340">
        <v>0</v>
      </c>
      <c r="Q340">
        <v>0</v>
      </c>
      <c r="R340">
        <v>0</v>
      </c>
      <c r="S340">
        <v>0</v>
      </c>
      <c r="T340" t="s">
        <v>34</v>
      </c>
      <c r="U340">
        <v>50</v>
      </c>
      <c r="W340">
        <v>15</v>
      </c>
    </row>
    <row r="341" spans="1:25">
      <c r="A341" s="1" t="s">
        <v>410</v>
      </c>
      <c r="B341" t="s">
        <v>90</v>
      </c>
      <c r="C341" t="s">
        <v>47</v>
      </c>
      <c r="D341" t="s">
        <v>52</v>
      </c>
      <c r="E341" t="s">
        <v>54</v>
      </c>
      <c r="F341" t="s">
        <v>64</v>
      </c>
      <c r="G341" t="s">
        <v>39</v>
      </c>
      <c r="H341" t="s">
        <v>40</v>
      </c>
      <c r="I341" t="s">
        <v>33</v>
      </c>
      <c r="J341" s="2">
        <v>45422</v>
      </c>
      <c r="K341" s="2">
        <v>45425</v>
      </c>
      <c r="L341" s="2">
        <v>45431</v>
      </c>
      <c r="M341" s="2">
        <v>45436</v>
      </c>
      <c r="N341" s="2">
        <v>45453</v>
      </c>
      <c r="O341">
        <v>1</v>
      </c>
      <c r="P341">
        <v>1</v>
      </c>
      <c r="Q341">
        <v>1</v>
      </c>
      <c r="R341">
        <v>1</v>
      </c>
      <c r="S341">
        <v>0</v>
      </c>
      <c r="T341" t="s">
        <v>61</v>
      </c>
      <c r="U341">
        <v>49</v>
      </c>
      <c r="V341">
        <v>31</v>
      </c>
      <c r="W341">
        <v>13</v>
      </c>
      <c r="X341">
        <v>2405030</v>
      </c>
    </row>
    <row r="342" spans="1:25">
      <c r="A342" s="1" t="s">
        <v>411</v>
      </c>
      <c r="B342" t="s">
        <v>26</v>
      </c>
      <c r="C342" t="s">
        <v>47</v>
      </c>
      <c r="D342" t="s">
        <v>44</v>
      </c>
      <c r="E342" t="s">
        <v>63</v>
      </c>
      <c r="F342" t="s">
        <v>48</v>
      </c>
      <c r="G342" t="s">
        <v>45</v>
      </c>
      <c r="H342" t="s">
        <v>56</v>
      </c>
      <c r="I342" t="s">
        <v>41</v>
      </c>
      <c r="J342" s="2">
        <v>45080</v>
      </c>
      <c r="K342" s="2">
        <v>45084</v>
      </c>
      <c r="L342" s="2">
        <v>45093</v>
      </c>
      <c r="M342" s="2">
        <v>45095</v>
      </c>
      <c r="N342" s="2">
        <v>45102</v>
      </c>
      <c r="O342">
        <v>1</v>
      </c>
      <c r="P342">
        <v>1</v>
      </c>
      <c r="Q342">
        <v>1</v>
      </c>
      <c r="R342">
        <v>1</v>
      </c>
      <c r="S342">
        <v>0</v>
      </c>
      <c r="T342" t="s">
        <v>61</v>
      </c>
      <c r="U342">
        <v>51</v>
      </c>
      <c r="V342">
        <v>22</v>
      </c>
      <c r="W342">
        <v>15</v>
      </c>
      <c r="X342">
        <v>2151646</v>
      </c>
    </row>
    <row r="343" spans="1:25">
      <c r="A343" s="1" t="s">
        <v>412</v>
      </c>
      <c r="B343" t="s">
        <v>36</v>
      </c>
      <c r="C343" t="s">
        <v>71</v>
      </c>
      <c r="D343" t="s">
        <v>52</v>
      </c>
      <c r="E343" t="s">
        <v>29</v>
      </c>
      <c r="F343" t="s">
        <v>76</v>
      </c>
      <c r="G343" t="s">
        <v>55</v>
      </c>
      <c r="H343" t="s">
        <v>40</v>
      </c>
      <c r="I343" t="s">
        <v>41</v>
      </c>
      <c r="J343" s="2">
        <v>45397</v>
      </c>
      <c r="K343" s="2">
        <v>45399</v>
      </c>
      <c r="L343" s="2">
        <v>45402</v>
      </c>
      <c r="M343" s="2">
        <v>45405</v>
      </c>
      <c r="N343" s="2">
        <v>45417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74</v>
      </c>
      <c r="U343">
        <v>60</v>
      </c>
      <c r="W343">
        <v>6</v>
      </c>
    </row>
    <row r="344" spans="1:25">
      <c r="A344" s="1" t="s">
        <v>413</v>
      </c>
      <c r="B344" t="s">
        <v>43</v>
      </c>
      <c r="C344" t="s">
        <v>71</v>
      </c>
      <c r="D344" t="s">
        <v>44</v>
      </c>
      <c r="E344" t="s">
        <v>54</v>
      </c>
      <c r="F344" t="s">
        <v>30</v>
      </c>
      <c r="G344" t="s">
        <v>55</v>
      </c>
      <c r="H344" t="s">
        <v>32</v>
      </c>
      <c r="I344" t="s">
        <v>33</v>
      </c>
      <c r="J344" s="2">
        <v>45077</v>
      </c>
      <c r="K344" s="2">
        <v>45079</v>
      </c>
      <c r="L344" s="2">
        <v>45085</v>
      </c>
      <c r="M344" s="2">
        <v>45088</v>
      </c>
      <c r="N344" s="2">
        <v>45101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74</v>
      </c>
      <c r="U344">
        <v>65</v>
      </c>
      <c r="W344">
        <v>5</v>
      </c>
    </row>
    <row r="345" spans="1:25">
      <c r="A345" s="1" t="s">
        <v>414</v>
      </c>
      <c r="B345" t="s">
        <v>90</v>
      </c>
      <c r="C345" t="s">
        <v>71</v>
      </c>
      <c r="D345" t="s">
        <v>28</v>
      </c>
      <c r="E345" t="s">
        <v>102</v>
      </c>
      <c r="F345" t="s">
        <v>64</v>
      </c>
      <c r="G345" t="s">
        <v>45</v>
      </c>
      <c r="H345" t="s">
        <v>32</v>
      </c>
      <c r="I345" t="s">
        <v>41</v>
      </c>
      <c r="J345" s="2">
        <v>45337</v>
      </c>
      <c r="K345" s="2">
        <v>45341</v>
      </c>
      <c r="L345" s="2">
        <v>45345</v>
      </c>
      <c r="M345" s="2">
        <v>45347</v>
      </c>
      <c r="N345" s="2">
        <v>45356</v>
      </c>
      <c r="O345">
        <v>0</v>
      </c>
      <c r="P345">
        <v>0</v>
      </c>
      <c r="Q345">
        <v>0</v>
      </c>
      <c r="R345">
        <v>0</v>
      </c>
      <c r="S345">
        <v>1</v>
      </c>
      <c r="T345" t="s">
        <v>74</v>
      </c>
      <c r="U345">
        <v>95</v>
      </c>
      <c r="W345">
        <v>6</v>
      </c>
    </row>
    <row r="346" spans="1:25">
      <c r="A346" s="1" t="s">
        <v>415</v>
      </c>
      <c r="B346" t="s">
        <v>43</v>
      </c>
      <c r="C346" t="s">
        <v>37</v>
      </c>
      <c r="D346" t="s">
        <v>59</v>
      </c>
      <c r="E346" t="s">
        <v>63</v>
      </c>
      <c r="F346" t="s">
        <v>30</v>
      </c>
      <c r="G346" t="s">
        <v>55</v>
      </c>
      <c r="H346" t="s">
        <v>32</v>
      </c>
      <c r="I346" t="s">
        <v>41</v>
      </c>
      <c r="J346" s="2">
        <v>44953</v>
      </c>
      <c r="K346" s="2">
        <v>44954</v>
      </c>
      <c r="L346" s="2">
        <v>44959</v>
      </c>
      <c r="M346" s="2">
        <v>44966</v>
      </c>
      <c r="N346" s="2">
        <v>44972</v>
      </c>
      <c r="O346">
        <v>1</v>
      </c>
      <c r="P346">
        <v>1</v>
      </c>
      <c r="Q346">
        <v>1</v>
      </c>
      <c r="R346">
        <v>1</v>
      </c>
      <c r="S346">
        <v>0</v>
      </c>
      <c r="T346" t="s">
        <v>61</v>
      </c>
      <c r="U346">
        <v>88</v>
      </c>
      <c r="V346">
        <v>19</v>
      </c>
      <c r="W346">
        <v>4</v>
      </c>
      <c r="X346">
        <v>720435</v>
      </c>
    </row>
    <row r="347" spans="1:25">
      <c r="A347" s="1" t="s">
        <v>416</v>
      </c>
      <c r="B347" t="s">
        <v>70</v>
      </c>
      <c r="C347" t="s">
        <v>37</v>
      </c>
      <c r="D347" t="s">
        <v>28</v>
      </c>
      <c r="E347" t="s">
        <v>66</v>
      </c>
      <c r="F347" t="s">
        <v>76</v>
      </c>
      <c r="G347" t="s">
        <v>55</v>
      </c>
      <c r="H347" t="s">
        <v>40</v>
      </c>
      <c r="I347" t="s">
        <v>33</v>
      </c>
      <c r="J347" s="2">
        <v>45388</v>
      </c>
      <c r="K347" s="2">
        <v>45389</v>
      </c>
      <c r="L347" s="2">
        <v>45397</v>
      </c>
      <c r="M347" s="2">
        <v>45399</v>
      </c>
      <c r="N347" s="2">
        <v>45421</v>
      </c>
      <c r="O347">
        <v>1</v>
      </c>
      <c r="P347">
        <v>1</v>
      </c>
      <c r="Q347">
        <v>0</v>
      </c>
      <c r="R347">
        <v>0</v>
      </c>
      <c r="S347">
        <v>0</v>
      </c>
      <c r="T347" t="s">
        <v>34</v>
      </c>
      <c r="U347">
        <v>75</v>
      </c>
      <c r="W347">
        <v>4</v>
      </c>
    </row>
    <row r="348" spans="1:25">
      <c r="A348" s="1" t="s">
        <v>417</v>
      </c>
      <c r="B348" t="s">
        <v>26</v>
      </c>
      <c r="C348" t="s">
        <v>47</v>
      </c>
      <c r="D348" t="s">
        <v>44</v>
      </c>
      <c r="E348" t="s">
        <v>102</v>
      </c>
      <c r="F348" t="s">
        <v>48</v>
      </c>
      <c r="G348" t="s">
        <v>31</v>
      </c>
      <c r="H348" t="s">
        <v>40</v>
      </c>
      <c r="I348" t="s">
        <v>41</v>
      </c>
      <c r="J348" s="2">
        <v>45335</v>
      </c>
      <c r="K348" s="2">
        <v>45338</v>
      </c>
      <c r="L348" s="2">
        <v>45346</v>
      </c>
      <c r="M348" s="2">
        <v>45349</v>
      </c>
      <c r="N348" s="2">
        <v>45360</v>
      </c>
      <c r="O348">
        <v>1</v>
      </c>
      <c r="P348">
        <v>1</v>
      </c>
      <c r="Q348">
        <v>1</v>
      </c>
      <c r="R348">
        <v>0</v>
      </c>
      <c r="S348">
        <v>1</v>
      </c>
      <c r="T348" t="s">
        <v>49</v>
      </c>
      <c r="U348">
        <v>89</v>
      </c>
      <c r="W348">
        <v>13</v>
      </c>
      <c r="X348">
        <v>1946724</v>
      </c>
      <c r="Y348" t="s">
        <v>87</v>
      </c>
    </row>
    <row r="349" spans="1:25">
      <c r="A349" s="1" t="s">
        <v>418</v>
      </c>
      <c r="B349" t="s">
        <v>26</v>
      </c>
      <c r="C349" t="s">
        <v>47</v>
      </c>
      <c r="D349" t="s">
        <v>52</v>
      </c>
      <c r="E349" t="s">
        <v>54</v>
      </c>
      <c r="F349" t="s">
        <v>30</v>
      </c>
      <c r="G349" t="s">
        <v>55</v>
      </c>
      <c r="H349" t="s">
        <v>56</v>
      </c>
      <c r="I349" t="s">
        <v>33</v>
      </c>
      <c r="J349" s="2">
        <v>45182</v>
      </c>
      <c r="K349" s="2">
        <v>45185</v>
      </c>
      <c r="L349" s="2">
        <v>45191</v>
      </c>
      <c r="M349" s="2">
        <v>45194</v>
      </c>
      <c r="N349" s="2">
        <v>45199</v>
      </c>
      <c r="O349">
        <v>1</v>
      </c>
      <c r="P349">
        <v>1</v>
      </c>
      <c r="Q349">
        <v>1</v>
      </c>
      <c r="R349">
        <v>1</v>
      </c>
      <c r="S349">
        <v>0</v>
      </c>
      <c r="T349" t="s">
        <v>61</v>
      </c>
      <c r="U349">
        <v>56</v>
      </c>
      <c r="V349">
        <v>17</v>
      </c>
      <c r="W349">
        <v>15</v>
      </c>
      <c r="X349">
        <v>3144371</v>
      </c>
    </row>
    <row r="350" spans="1:25">
      <c r="A350" s="1" t="s">
        <v>419</v>
      </c>
      <c r="B350" t="s">
        <v>26</v>
      </c>
      <c r="C350" t="s">
        <v>47</v>
      </c>
      <c r="D350" t="s">
        <v>59</v>
      </c>
      <c r="E350" t="s">
        <v>29</v>
      </c>
      <c r="F350" t="s">
        <v>64</v>
      </c>
      <c r="G350" t="s">
        <v>55</v>
      </c>
      <c r="H350" t="s">
        <v>40</v>
      </c>
      <c r="I350" t="s">
        <v>33</v>
      </c>
      <c r="J350" s="2">
        <v>45149</v>
      </c>
      <c r="K350" s="2">
        <v>45154</v>
      </c>
      <c r="L350" s="2">
        <v>45157</v>
      </c>
      <c r="M350" s="2">
        <v>45161</v>
      </c>
      <c r="N350" s="2">
        <v>45170</v>
      </c>
      <c r="O350">
        <v>1</v>
      </c>
      <c r="P350">
        <v>0</v>
      </c>
      <c r="Q350">
        <v>0</v>
      </c>
      <c r="R350">
        <v>0</v>
      </c>
      <c r="S350">
        <v>0</v>
      </c>
      <c r="T350" t="s">
        <v>34</v>
      </c>
      <c r="U350">
        <v>71</v>
      </c>
      <c r="W350">
        <v>13</v>
      </c>
    </row>
    <row r="351" spans="1:25">
      <c r="A351" s="1" t="s">
        <v>420</v>
      </c>
      <c r="B351" t="s">
        <v>58</v>
      </c>
      <c r="C351" t="s">
        <v>27</v>
      </c>
      <c r="D351" t="s">
        <v>59</v>
      </c>
      <c r="E351" t="s">
        <v>63</v>
      </c>
      <c r="F351" t="s">
        <v>64</v>
      </c>
      <c r="G351" t="s">
        <v>31</v>
      </c>
      <c r="H351" t="s">
        <v>40</v>
      </c>
      <c r="I351" t="s">
        <v>41</v>
      </c>
      <c r="J351" s="2">
        <v>45383</v>
      </c>
      <c r="K351" s="2">
        <v>45386</v>
      </c>
      <c r="L351" s="2">
        <v>45391</v>
      </c>
      <c r="M351" s="2">
        <v>45398</v>
      </c>
      <c r="N351" s="2">
        <v>45401</v>
      </c>
      <c r="O351">
        <v>1</v>
      </c>
      <c r="P351">
        <v>1</v>
      </c>
      <c r="Q351">
        <v>1</v>
      </c>
      <c r="R351">
        <v>0</v>
      </c>
      <c r="S351">
        <v>1</v>
      </c>
      <c r="T351" t="s">
        <v>49</v>
      </c>
      <c r="U351">
        <v>47</v>
      </c>
      <c r="W351">
        <v>1</v>
      </c>
      <c r="X351">
        <v>547636</v>
      </c>
      <c r="Y351" t="s">
        <v>50</v>
      </c>
    </row>
    <row r="352" spans="1:25">
      <c r="A352" s="1" t="s">
        <v>421</v>
      </c>
      <c r="B352" t="s">
        <v>26</v>
      </c>
      <c r="C352" t="s">
        <v>27</v>
      </c>
      <c r="D352" t="s">
        <v>44</v>
      </c>
      <c r="E352" t="s">
        <v>102</v>
      </c>
      <c r="F352" t="s">
        <v>38</v>
      </c>
      <c r="G352" t="s">
        <v>55</v>
      </c>
      <c r="H352" t="s">
        <v>32</v>
      </c>
      <c r="I352" t="s">
        <v>33</v>
      </c>
      <c r="J352" s="2">
        <v>45045</v>
      </c>
      <c r="K352" s="2">
        <v>45050</v>
      </c>
      <c r="L352" s="2">
        <v>45053</v>
      </c>
      <c r="M352" s="2">
        <v>45059</v>
      </c>
      <c r="N352" s="2">
        <v>45070</v>
      </c>
      <c r="O352">
        <v>1</v>
      </c>
      <c r="P352">
        <v>1</v>
      </c>
      <c r="Q352">
        <v>1</v>
      </c>
      <c r="R352">
        <v>1</v>
      </c>
      <c r="S352">
        <v>0</v>
      </c>
      <c r="T352" t="s">
        <v>61</v>
      </c>
      <c r="U352">
        <v>90</v>
      </c>
      <c r="V352">
        <v>25</v>
      </c>
      <c r="W352">
        <v>1</v>
      </c>
      <c r="X352">
        <v>521044</v>
      </c>
    </row>
    <row r="353" spans="1:25">
      <c r="A353" s="1" t="s">
        <v>422</v>
      </c>
      <c r="B353" t="s">
        <v>70</v>
      </c>
      <c r="C353" t="s">
        <v>27</v>
      </c>
      <c r="D353" t="s">
        <v>59</v>
      </c>
      <c r="E353" t="s">
        <v>29</v>
      </c>
      <c r="F353" t="s">
        <v>30</v>
      </c>
      <c r="G353" t="s">
        <v>45</v>
      </c>
      <c r="H353" t="s">
        <v>32</v>
      </c>
      <c r="I353" t="s">
        <v>41</v>
      </c>
      <c r="J353" s="2">
        <v>45225</v>
      </c>
      <c r="K353" s="2">
        <v>45227</v>
      </c>
      <c r="L353" s="2">
        <v>45234</v>
      </c>
      <c r="M353" s="2">
        <v>45239</v>
      </c>
      <c r="N353" s="2">
        <v>45263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74</v>
      </c>
      <c r="U353">
        <v>93</v>
      </c>
      <c r="W353">
        <v>1</v>
      </c>
    </row>
    <row r="354" spans="1:25">
      <c r="A354" s="1" t="s">
        <v>423</v>
      </c>
      <c r="B354" t="s">
        <v>90</v>
      </c>
      <c r="C354" t="s">
        <v>47</v>
      </c>
      <c r="D354" t="s">
        <v>44</v>
      </c>
      <c r="E354" t="s">
        <v>66</v>
      </c>
      <c r="F354" t="s">
        <v>30</v>
      </c>
      <c r="G354" t="s">
        <v>39</v>
      </c>
      <c r="H354" t="s">
        <v>56</v>
      </c>
      <c r="I354" t="s">
        <v>41</v>
      </c>
      <c r="J354" s="2">
        <v>45286</v>
      </c>
      <c r="K354" s="2">
        <v>45287</v>
      </c>
      <c r="L354" s="2">
        <v>45291</v>
      </c>
      <c r="M354" s="2">
        <v>45298</v>
      </c>
      <c r="N354" s="2">
        <v>45308</v>
      </c>
      <c r="O354">
        <v>1</v>
      </c>
      <c r="P354">
        <v>1</v>
      </c>
      <c r="Q354">
        <v>1</v>
      </c>
      <c r="R354">
        <v>0</v>
      </c>
      <c r="S354">
        <v>0</v>
      </c>
      <c r="T354" t="s">
        <v>49</v>
      </c>
      <c r="U354">
        <v>74</v>
      </c>
      <c r="W354">
        <v>9</v>
      </c>
      <c r="X354">
        <v>2397240</v>
      </c>
      <c r="Y354" t="s">
        <v>127</v>
      </c>
    </row>
    <row r="355" spans="1:25">
      <c r="A355" s="1" t="s">
        <v>424</v>
      </c>
      <c r="B355" t="s">
        <v>43</v>
      </c>
      <c r="C355" t="s">
        <v>47</v>
      </c>
      <c r="D355" t="s">
        <v>44</v>
      </c>
      <c r="E355" t="s">
        <v>102</v>
      </c>
      <c r="F355" t="s">
        <v>38</v>
      </c>
      <c r="G355" t="s">
        <v>45</v>
      </c>
      <c r="H355" t="s">
        <v>32</v>
      </c>
      <c r="I355" t="s">
        <v>33</v>
      </c>
      <c r="J355" s="2">
        <v>45156</v>
      </c>
      <c r="K355" s="2">
        <v>45157</v>
      </c>
      <c r="L355" s="2">
        <v>45162</v>
      </c>
      <c r="M355" s="2">
        <v>45168</v>
      </c>
      <c r="N355" s="2">
        <v>45174</v>
      </c>
      <c r="O355">
        <v>1</v>
      </c>
      <c r="P355">
        <v>1</v>
      </c>
      <c r="Q355">
        <v>1</v>
      </c>
      <c r="R355">
        <v>0</v>
      </c>
      <c r="S355">
        <v>0</v>
      </c>
      <c r="T355" t="s">
        <v>49</v>
      </c>
      <c r="U355">
        <v>70</v>
      </c>
      <c r="W355">
        <v>8</v>
      </c>
      <c r="X355">
        <v>3093256</v>
      </c>
      <c r="Y355" t="s">
        <v>50</v>
      </c>
    </row>
    <row r="356" spans="1:25">
      <c r="A356" s="1" t="s">
        <v>425</v>
      </c>
      <c r="B356" t="s">
        <v>43</v>
      </c>
      <c r="C356" t="s">
        <v>27</v>
      </c>
      <c r="D356" t="s">
        <v>44</v>
      </c>
      <c r="E356" t="s">
        <v>29</v>
      </c>
      <c r="F356" t="s">
        <v>38</v>
      </c>
      <c r="G356" t="s">
        <v>45</v>
      </c>
      <c r="H356" t="s">
        <v>56</v>
      </c>
      <c r="I356" t="s">
        <v>41</v>
      </c>
      <c r="J356" s="2">
        <v>45139</v>
      </c>
      <c r="K356" s="2">
        <v>45140</v>
      </c>
      <c r="L356" s="2">
        <v>45150</v>
      </c>
      <c r="M356" s="2">
        <v>45152</v>
      </c>
      <c r="N356" s="2">
        <v>45161</v>
      </c>
      <c r="O356">
        <v>1</v>
      </c>
      <c r="P356">
        <v>1</v>
      </c>
      <c r="Q356">
        <v>1</v>
      </c>
      <c r="R356">
        <v>0</v>
      </c>
      <c r="S356">
        <v>0</v>
      </c>
      <c r="T356" t="s">
        <v>49</v>
      </c>
      <c r="U356">
        <v>63</v>
      </c>
      <c r="W356">
        <v>1</v>
      </c>
      <c r="X356">
        <v>669575</v>
      </c>
      <c r="Y356" t="s">
        <v>80</v>
      </c>
    </row>
    <row r="357" spans="1:25">
      <c r="A357" s="1" t="s">
        <v>426</v>
      </c>
      <c r="B357" t="s">
        <v>58</v>
      </c>
      <c r="C357" t="s">
        <v>71</v>
      </c>
      <c r="D357" t="s">
        <v>44</v>
      </c>
      <c r="E357" t="s">
        <v>63</v>
      </c>
      <c r="F357" t="s">
        <v>48</v>
      </c>
      <c r="G357" t="s">
        <v>45</v>
      </c>
      <c r="H357" t="s">
        <v>40</v>
      </c>
      <c r="I357" t="s">
        <v>41</v>
      </c>
      <c r="J357" s="2">
        <v>45446</v>
      </c>
      <c r="K357" s="2">
        <v>45447</v>
      </c>
      <c r="L357" s="2">
        <v>45457</v>
      </c>
      <c r="M357" s="2">
        <v>45464</v>
      </c>
      <c r="N357" s="2">
        <v>45457</v>
      </c>
      <c r="O357">
        <v>1</v>
      </c>
      <c r="P357">
        <v>1</v>
      </c>
      <c r="Q357">
        <v>1</v>
      </c>
      <c r="R357">
        <v>1</v>
      </c>
      <c r="S357">
        <v>0</v>
      </c>
      <c r="T357" t="s">
        <v>61</v>
      </c>
      <c r="U357">
        <v>70</v>
      </c>
      <c r="V357">
        <v>11</v>
      </c>
      <c r="W357">
        <v>4</v>
      </c>
      <c r="X357">
        <v>1030602</v>
      </c>
    </row>
    <row r="358" spans="1:25">
      <c r="A358" s="1" t="s">
        <v>427</v>
      </c>
      <c r="B358" t="s">
        <v>70</v>
      </c>
      <c r="C358" t="s">
        <v>78</v>
      </c>
      <c r="D358" t="s">
        <v>44</v>
      </c>
      <c r="E358" t="s">
        <v>54</v>
      </c>
      <c r="F358" t="s">
        <v>48</v>
      </c>
      <c r="G358" t="s">
        <v>60</v>
      </c>
      <c r="H358" t="s">
        <v>32</v>
      </c>
      <c r="I358" t="s">
        <v>41</v>
      </c>
      <c r="J358" s="2">
        <v>45332</v>
      </c>
      <c r="K358" s="2">
        <v>45333</v>
      </c>
      <c r="L358" s="2">
        <v>45338</v>
      </c>
      <c r="M358" s="2">
        <v>45343</v>
      </c>
      <c r="N358" s="2">
        <v>45365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74</v>
      </c>
      <c r="U358">
        <v>58</v>
      </c>
      <c r="W358">
        <v>6</v>
      </c>
    </row>
    <row r="359" spans="1:25">
      <c r="A359" s="1" t="s">
        <v>428</v>
      </c>
      <c r="B359" t="s">
        <v>43</v>
      </c>
      <c r="C359" t="s">
        <v>78</v>
      </c>
      <c r="D359" t="s">
        <v>73</v>
      </c>
      <c r="E359" t="s">
        <v>29</v>
      </c>
      <c r="F359" t="s">
        <v>48</v>
      </c>
      <c r="G359" t="s">
        <v>60</v>
      </c>
      <c r="H359" t="s">
        <v>56</v>
      </c>
      <c r="I359" t="s">
        <v>41</v>
      </c>
      <c r="J359" s="2">
        <v>45330</v>
      </c>
      <c r="K359" s="2">
        <v>45334</v>
      </c>
      <c r="L359" s="2">
        <v>45340</v>
      </c>
      <c r="M359" s="2">
        <v>45347</v>
      </c>
      <c r="N359" s="2">
        <v>45353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74</v>
      </c>
      <c r="U359">
        <v>89</v>
      </c>
      <c r="W359">
        <v>8</v>
      </c>
    </row>
    <row r="360" spans="1:25">
      <c r="A360" s="1" t="s">
        <v>429</v>
      </c>
      <c r="B360" t="s">
        <v>90</v>
      </c>
      <c r="C360" t="s">
        <v>37</v>
      </c>
      <c r="D360" t="s">
        <v>28</v>
      </c>
      <c r="E360" t="s">
        <v>54</v>
      </c>
      <c r="F360" t="s">
        <v>67</v>
      </c>
      <c r="G360" t="s">
        <v>45</v>
      </c>
      <c r="H360" t="s">
        <v>32</v>
      </c>
      <c r="I360" t="s">
        <v>33</v>
      </c>
      <c r="J360" s="2">
        <v>45284</v>
      </c>
      <c r="K360" s="2">
        <v>45286</v>
      </c>
      <c r="L360" s="2">
        <v>45293</v>
      </c>
      <c r="M360" s="2">
        <v>45296</v>
      </c>
      <c r="N360" s="2">
        <v>45314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74</v>
      </c>
      <c r="U360">
        <v>77</v>
      </c>
      <c r="W360">
        <v>1</v>
      </c>
    </row>
    <row r="361" spans="1:25">
      <c r="A361" s="1" t="s">
        <v>430</v>
      </c>
      <c r="B361" t="s">
        <v>70</v>
      </c>
      <c r="C361" t="s">
        <v>37</v>
      </c>
      <c r="D361" t="s">
        <v>44</v>
      </c>
      <c r="E361" t="s">
        <v>66</v>
      </c>
      <c r="F361" t="s">
        <v>38</v>
      </c>
      <c r="G361" t="s">
        <v>55</v>
      </c>
      <c r="H361" t="s">
        <v>40</v>
      </c>
      <c r="I361" t="s">
        <v>33</v>
      </c>
      <c r="J361" s="2">
        <v>45361</v>
      </c>
      <c r="K361" s="2">
        <v>45362</v>
      </c>
      <c r="L361" s="2">
        <v>45372</v>
      </c>
      <c r="M361" s="2">
        <v>45375</v>
      </c>
      <c r="N361" s="2">
        <v>45384</v>
      </c>
      <c r="O361">
        <v>1</v>
      </c>
      <c r="P361">
        <v>0</v>
      </c>
      <c r="Q361">
        <v>0</v>
      </c>
      <c r="R361">
        <v>0</v>
      </c>
      <c r="S361">
        <v>0</v>
      </c>
      <c r="T361" t="s">
        <v>34</v>
      </c>
      <c r="U361">
        <v>83</v>
      </c>
      <c r="W361">
        <v>1</v>
      </c>
    </row>
    <row r="362" spans="1:25">
      <c r="A362" s="1" t="s">
        <v>431</v>
      </c>
      <c r="B362" t="s">
        <v>70</v>
      </c>
      <c r="C362" t="s">
        <v>47</v>
      </c>
      <c r="D362" t="s">
        <v>73</v>
      </c>
      <c r="E362" t="s">
        <v>102</v>
      </c>
      <c r="F362" t="s">
        <v>30</v>
      </c>
      <c r="G362" t="s">
        <v>60</v>
      </c>
      <c r="H362" t="s">
        <v>40</v>
      </c>
      <c r="I362" t="s">
        <v>33</v>
      </c>
      <c r="J362" s="2">
        <v>45056</v>
      </c>
      <c r="K362" s="2">
        <v>45057</v>
      </c>
      <c r="L362" s="2">
        <v>45065</v>
      </c>
      <c r="M362" s="2">
        <v>45069</v>
      </c>
      <c r="N362" s="2">
        <v>45091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74</v>
      </c>
      <c r="U362">
        <v>71</v>
      </c>
      <c r="W362">
        <v>13</v>
      </c>
    </row>
    <row r="363" spans="1:25">
      <c r="A363" s="1" t="s">
        <v>432</v>
      </c>
      <c r="B363" t="s">
        <v>26</v>
      </c>
      <c r="C363" t="s">
        <v>78</v>
      </c>
      <c r="D363" t="s">
        <v>59</v>
      </c>
      <c r="E363" t="s">
        <v>66</v>
      </c>
      <c r="F363" t="s">
        <v>67</v>
      </c>
      <c r="G363" t="s">
        <v>31</v>
      </c>
      <c r="H363" t="s">
        <v>56</v>
      </c>
      <c r="I363" t="s">
        <v>41</v>
      </c>
      <c r="J363" s="2">
        <v>45140</v>
      </c>
      <c r="K363" s="2">
        <v>45144</v>
      </c>
      <c r="L363" s="2">
        <v>45154</v>
      </c>
      <c r="M363" s="2">
        <v>45156</v>
      </c>
      <c r="N363" s="2">
        <v>45155</v>
      </c>
      <c r="O363">
        <v>1</v>
      </c>
      <c r="P363">
        <v>1</v>
      </c>
      <c r="Q363">
        <v>1</v>
      </c>
      <c r="R363">
        <v>0</v>
      </c>
      <c r="S363">
        <v>0</v>
      </c>
      <c r="T363" t="s">
        <v>49</v>
      </c>
      <c r="U363">
        <v>59</v>
      </c>
      <c r="W363">
        <v>8</v>
      </c>
      <c r="X363">
        <v>1480414</v>
      </c>
      <c r="Y363" t="s">
        <v>127</v>
      </c>
    </row>
    <row r="364" spans="1:25">
      <c r="A364" s="1" t="s">
        <v>433</v>
      </c>
      <c r="B364" t="s">
        <v>26</v>
      </c>
      <c r="C364" t="s">
        <v>78</v>
      </c>
      <c r="D364" t="s">
        <v>52</v>
      </c>
      <c r="E364" t="s">
        <v>66</v>
      </c>
      <c r="F364" t="s">
        <v>64</v>
      </c>
      <c r="G364" t="s">
        <v>45</v>
      </c>
      <c r="H364" t="s">
        <v>32</v>
      </c>
      <c r="I364" t="s">
        <v>41</v>
      </c>
      <c r="J364" s="2">
        <v>45424</v>
      </c>
      <c r="K364" s="2">
        <v>45427</v>
      </c>
      <c r="L364" s="2">
        <v>45437</v>
      </c>
      <c r="M364" s="2">
        <v>45439</v>
      </c>
      <c r="N364" s="2">
        <v>45439</v>
      </c>
      <c r="O364">
        <v>1</v>
      </c>
      <c r="P364">
        <v>0</v>
      </c>
      <c r="Q364">
        <v>0</v>
      </c>
      <c r="R364">
        <v>0</v>
      </c>
      <c r="S364">
        <v>0</v>
      </c>
      <c r="T364" t="s">
        <v>34</v>
      </c>
      <c r="U364">
        <v>68</v>
      </c>
      <c r="W364">
        <v>6</v>
      </c>
    </row>
    <row r="365" spans="1:25">
      <c r="A365" s="1" t="s">
        <v>434</v>
      </c>
      <c r="B365" t="s">
        <v>70</v>
      </c>
      <c r="C365" t="s">
        <v>37</v>
      </c>
      <c r="D365" t="s">
        <v>52</v>
      </c>
      <c r="E365" t="s">
        <v>66</v>
      </c>
      <c r="F365" t="s">
        <v>67</v>
      </c>
      <c r="G365" t="s">
        <v>39</v>
      </c>
      <c r="H365" t="s">
        <v>32</v>
      </c>
      <c r="I365" t="s">
        <v>41</v>
      </c>
      <c r="J365" s="2">
        <v>45167</v>
      </c>
      <c r="K365" s="2">
        <v>45171</v>
      </c>
      <c r="L365" s="2">
        <v>45180</v>
      </c>
      <c r="M365" s="2">
        <v>45184</v>
      </c>
      <c r="N365" s="2">
        <v>45192</v>
      </c>
      <c r="O365">
        <v>1</v>
      </c>
      <c r="P365">
        <v>1</v>
      </c>
      <c r="Q365">
        <v>1</v>
      </c>
      <c r="R365">
        <v>0</v>
      </c>
      <c r="S365">
        <v>0</v>
      </c>
      <c r="T365" t="s">
        <v>49</v>
      </c>
      <c r="U365">
        <v>73</v>
      </c>
      <c r="W365">
        <v>4</v>
      </c>
      <c r="X365">
        <v>709179</v>
      </c>
      <c r="Y365" t="s">
        <v>50</v>
      </c>
    </row>
    <row r="366" spans="1:25">
      <c r="A366" s="1" t="s">
        <v>435</v>
      </c>
      <c r="B366" t="s">
        <v>26</v>
      </c>
      <c r="C366" t="s">
        <v>71</v>
      </c>
      <c r="D366" t="s">
        <v>44</v>
      </c>
      <c r="E366" t="s">
        <v>102</v>
      </c>
      <c r="F366" t="s">
        <v>38</v>
      </c>
      <c r="G366" t="s">
        <v>39</v>
      </c>
      <c r="H366" t="s">
        <v>32</v>
      </c>
      <c r="I366" t="s">
        <v>33</v>
      </c>
      <c r="J366" s="2">
        <v>44930</v>
      </c>
      <c r="K366" s="2">
        <v>44935</v>
      </c>
      <c r="L366" s="2">
        <v>44945</v>
      </c>
      <c r="M366" s="2">
        <v>44952</v>
      </c>
      <c r="N366" s="2">
        <v>44944</v>
      </c>
      <c r="O366">
        <v>1</v>
      </c>
      <c r="P366">
        <v>1</v>
      </c>
      <c r="Q366">
        <v>1</v>
      </c>
      <c r="R366">
        <v>0</v>
      </c>
      <c r="S366">
        <v>0</v>
      </c>
      <c r="T366" t="s">
        <v>49</v>
      </c>
      <c r="U366">
        <v>73</v>
      </c>
      <c r="W366">
        <v>3</v>
      </c>
      <c r="X366">
        <v>1246101</v>
      </c>
      <c r="Y366" t="s">
        <v>68</v>
      </c>
    </row>
    <row r="367" spans="1:25">
      <c r="A367" s="1" t="s">
        <v>436</v>
      </c>
      <c r="B367" t="s">
        <v>58</v>
      </c>
      <c r="C367" t="s">
        <v>78</v>
      </c>
      <c r="D367" t="s">
        <v>73</v>
      </c>
      <c r="E367" t="s">
        <v>29</v>
      </c>
      <c r="F367" t="s">
        <v>64</v>
      </c>
      <c r="G367" t="s">
        <v>39</v>
      </c>
      <c r="H367" t="s">
        <v>56</v>
      </c>
      <c r="I367" t="s">
        <v>41</v>
      </c>
      <c r="J367" s="2">
        <v>45060</v>
      </c>
      <c r="K367" s="2">
        <v>45063</v>
      </c>
      <c r="L367" s="2">
        <v>45073</v>
      </c>
      <c r="M367" s="2">
        <v>45077</v>
      </c>
      <c r="N367" s="2">
        <v>45082</v>
      </c>
      <c r="O367">
        <v>0</v>
      </c>
      <c r="P367">
        <v>0</v>
      </c>
      <c r="Q367">
        <v>0</v>
      </c>
      <c r="R367">
        <v>0</v>
      </c>
      <c r="S367">
        <v>1</v>
      </c>
      <c r="T367" t="s">
        <v>74</v>
      </c>
      <c r="U367">
        <v>70</v>
      </c>
      <c r="W367">
        <v>10</v>
      </c>
    </row>
    <row r="368" spans="1:25">
      <c r="A368" s="1" t="s">
        <v>437</v>
      </c>
      <c r="B368" t="s">
        <v>58</v>
      </c>
      <c r="C368" t="s">
        <v>71</v>
      </c>
      <c r="D368" t="s">
        <v>44</v>
      </c>
      <c r="E368" t="s">
        <v>54</v>
      </c>
      <c r="F368" t="s">
        <v>76</v>
      </c>
      <c r="G368" t="s">
        <v>31</v>
      </c>
      <c r="H368" t="s">
        <v>32</v>
      </c>
      <c r="I368" t="s">
        <v>41</v>
      </c>
      <c r="J368" s="2">
        <v>45072</v>
      </c>
      <c r="K368" s="2">
        <v>45077</v>
      </c>
      <c r="L368" s="2">
        <v>45081</v>
      </c>
      <c r="M368" s="2">
        <v>45086</v>
      </c>
      <c r="N368" s="2">
        <v>45086</v>
      </c>
      <c r="O368">
        <v>1</v>
      </c>
      <c r="P368">
        <v>1</v>
      </c>
      <c r="Q368">
        <v>1</v>
      </c>
      <c r="R368">
        <v>1</v>
      </c>
      <c r="S368">
        <v>0</v>
      </c>
      <c r="T368" t="s">
        <v>61</v>
      </c>
      <c r="U368">
        <v>96</v>
      </c>
      <c r="V368">
        <v>14</v>
      </c>
      <c r="W368">
        <v>3</v>
      </c>
      <c r="X368">
        <v>1117051</v>
      </c>
    </row>
    <row r="369" spans="1:25">
      <c r="A369" s="1" t="s">
        <v>438</v>
      </c>
      <c r="B369" t="s">
        <v>70</v>
      </c>
      <c r="C369" t="s">
        <v>47</v>
      </c>
      <c r="D369" t="s">
        <v>28</v>
      </c>
      <c r="E369" t="s">
        <v>66</v>
      </c>
      <c r="F369" t="s">
        <v>38</v>
      </c>
      <c r="G369" t="s">
        <v>39</v>
      </c>
      <c r="H369" t="s">
        <v>40</v>
      </c>
      <c r="I369" t="s">
        <v>33</v>
      </c>
      <c r="J369" s="2">
        <v>45018</v>
      </c>
      <c r="K369" s="2">
        <v>45022</v>
      </c>
      <c r="L369" s="2">
        <v>45028</v>
      </c>
      <c r="M369" s="2">
        <v>45030</v>
      </c>
      <c r="N369" s="2">
        <v>45043</v>
      </c>
      <c r="O369">
        <v>1</v>
      </c>
      <c r="P369">
        <v>1</v>
      </c>
      <c r="Q369">
        <v>1</v>
      </c>
      <c r="R369">
        <v>1</v>
      </c>
      <c r="S369">
        <v>0</v>
      </c>
      <c r="T369" t="s">
        <v>61</v>
      </c>
      <c r="U369">
        <v>79</v>
      </c>
      <c r="V369">
        <v>25</v>
      </c>
      <c r="W369">
        <v>9</v>
      </c>
      <c r="X369">
        <v>1914303</v>
      </c>
    </row>
    <row r="370" spans="1:25">
      <c r="A370" s="1" t="s">
        <v>439</v>
      </c>
      <c r="B370" t="s">
        <v>58</v>
      </c>
      <c r="C370" t="s">
        <v>37</v>
      </c>
      <c r="D370" t="s">
        <v>28</v>
      </c>
      <c r="E370" t="s">
        <v>102</v>
      </c>
      <c r="F370" t="s">
        <v>64</v>
      </c>
      <c r="G370" t="s">
        <v>31</v>
      </c>
      <c r="H370" t="s">
        <v>56</v>
      </c>
      <c r="I370" t="s">
        <v>33</v>
      </c>
      <c r="J370" s="2">
        <v>45211</v>
      </c>
      <c r="K370" s="2">
        <v>45212</v>
      </c>
      <c r="L370" s="2">
        <v>45221</v>
      </c>
      <c r="M370" s="2">
        <v>45223</v>
      </c>
      <c r="N370" s="2">
        <v>45229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74</v>
      </c>
      <c r="U370">
        <v>55</v>
      </c>
      <c r="W370">
        <v>4</v>
      </c>
    </row>
    <row r="371" spans="1:25">
      <c r="A371" s="1" t="s">
        <v>440</v>
      </c>
      <c r="B371" t="s">
        <v>43</v>
      </c>
      <c r="C371" t="s">
        <v>47</v>
      </c>
      <c r="D371" t="s">
        <v>59</v>
      </c>
      <c r="E371" t="s">
        <v>102</v>
      </c>
      <c r="F371" t="s">
        <v>38</v>
      </c>
      <c r="G371" t="s">
        <v>39</v>
      </c>
      <c r="H371" t="s">
        <v>40</v>
      </c>
      <c r="I371" t="s">
        <v>33</v>
      </c>
      <c r="J371" s="2">
        <v>45397</v>
      </c>
      <c r="K371" s="2">
        <v>45398</v>
      </c>
      <c r="L371" s="2">
        <v>45406</v>
      </c>
      <c r="M371" s="2">
        <v>45412</v>
      </c>
      <c r="N371" s="2">
        <v>45417</v>
      </c>
      <c r="O371">
        <v>1</v>
      </c>
      <c r="P371">
        <v>1</v>
      </c>
      <c r="Q371">
        <v>0</v>
      </c>
      <c r="R371">
        <v>0</v>
      </c>
      <c r="S371">
        <v>0</v>
      </c>
      <c r="T371" t="s">
        <v>34</v>
      </c>
      <c r="U371">
        <v>65</v>
      </c>
      <c r="W371">
        <v>12</v>
      </c>
    </row>
    <row r="372" spans="1:25">
      <c r="A372" s="1" t="s">
        <v>441</v>
      </c>
      <c r="B372" t="s">
        <v>36</v>
      </c>
      <c r="C372" t="s">
        <v>71</v>
      </c>
      <c r="D372" t="s">
        <v>73</v>
      </c>
      <c r="E372" t="s">
        <v>29</v>
      </c>
      <c r="F372" t="s">
        <v>67</v>
      </c>
      <c r="G372" t="s">
        <v>55</v>
      </c>
      <c r="H372" t="s">
        <v>32</v>
      </c>
      <c r="I372" t="s">
        <v>41</v>
      </c>
      <c r="J372" s="2">
        <v>45274</v>
      </c>
      <c r="K372" s="2">
        <v>45278</v>
      </c>
      <c r="L372" s="2">
        <v>45288</v>
      </c>
      <c r="M372" s="2">
        <v>45291</v>
      </c>
      <c r="N372" s="2">
        <v>45289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74</v>
      </c>
      <c r="U372">
        <v>67</v>
      </c>
      <c r="W372">
        <v>4</v>
      </c>
    </row>
    <row r="373" spans="1:25">
      <c r="A373" s="1" t="s">
        <v>442</v>
      </c>
      <c r="B373" t="s">
        <v>43</v>
      </c>
      <c r="C373" t="s">
        <v>71</v>
      </c>
      <c r="D373" t="s">
        <v>52</v>
      </c>
      <c r="E373" t="s">
        <v>102</v>
      </c>
      <c r="F373" t="s">
        <v>30</v>
      </c>
      <c r="G373" t="s">
        <v>60</v>
      </c>
      <c r="H373" t="s">
        <v>56</v>
      </c>
      <c r="I373" t="s">
        <v>41</v>
      </c>
      <c r="J373" s="2">
        <v>44969</v>
      </c>
      <c r="K373" s="2">
        <v>44973</v>
      </c>
      <c r="L373" s="2">
        <v>44979</v>
      </c>
      <c r="M373" s="2">
        <v>44983</v>
      </c>
      <c r="N373" s="2">
        <v>44992</v>
      </c>
      <c r="O373">
        <v>1</v>
      </c>
      <c r="P373">
        <v>1</v>
      </c>
      <c r="Q373">
        <v>0</v>
      </c>
      <c r="R373">
        <v>0</v>
      </c>
      <c r="S373">
        <v>0</v>
      </c>
      <c r="T373" t="s">
        <v>34</v>
      </c>
      <c r="U373">
        <v>78</v>
      </c>
      <c r="W373">
        <v>6</v>
      </c>
    </row>
    <row r="374" spans="1:25">
      <c r="A374" s="1" t="s">
        <v>443</v>
      </c>
      <c r="B374" t="s">
        <v>90</v>
      </c>
      <c r="C374" t="s">
        <v>71</v>
      </c>
      <c r="D374" t="s">
        <v>28</v>
      </c>
      <c r="E374" t="s">
        <v>54</v>
      </c>
      <c r="F374" t="s">
        <v>30</v>
      </c>
      <c r="G374" t="s">
        <v>45</v>
      </c>
      <c r="H374" t="s">
        <v>32</v>
      </c>
      <c r="I374" t="s">
        <v>41</v>
      </c>
      <c r="J374" s="2">
        <v>45358</v>
      </c>
      <c r="K374" s="2">
        <v>45359</v>
      </c>
      <c r="L374" s="2">
        <v>45368</v>
      </c>
      <c r="M374" s="2">
        <v>45371</v>
      </c>
      <c r="N374" s="2">
        <v>45389</v>
      </c>
      <c r="O374">
        <v>1</v>
      </c>
      <c r="P374">
        <v>1</v>
      </c>
      <c r="Q374">
        <v>1</v>
      </c>
      <c r="R374">
        <v>0</v>
      </c>
      <c r="S374">
        <v>0</v>
      </c>
      <c r="T374" t="s">
        <v>49</v>
      </c>
      <c r="U374">
        <v>78</v>
      </c>
      <c r="W374">
        <v>5</v>
      </c>
      <c r="X374">
        <v>1332194</v>
      </c>
      <c r="Y374" t="s">
        <v>87</v>
      </c>
    </row>
    <row r="375" spans="1:25">
      <c r="A375" s="1" t="s">
        <v>444</v>
      </c>
      <c r="B375" t="s">
        <v>90</v>
      </c>
      <c r="C375" t="s">
        <v>27</v>
      </c>
      <c r="D375" t="s">
        <v>44</v>
      </c>
      <c r="E375" t="s">
        <v>102</v>
      </c>
      <c r="F375" t="s">
        <v>38</v>
      </c>
      <c r="G375" t="s">
        <v>39</v>
      </c>
      <c r="H375" t="s">
        <v>40</v>
      </c>
      <c r="I375" t="s">
        <v>33</v>
      </c>
      <c r="J375" s="2">
        <v>45341</v>
      </c>
      <c r="K375" s="2">
        <v>45345</v>
      </c>
      <c r="L375" s="2">
        <v>45352</v>
      </c>
      <c r="M375" s="2">
        <v>45359</v>
      </c>
      <c r="N375" s="2">
        <v>45372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74</v>
      </c>
      <c r="U375">
        <v>77</v>
      </c>
      <c r="W375">
        <v>1</v>
      </c>
    </row>
    <row r="376" spans="1:25">
      <c r="A376" s="1" t="s">
        <v>445</v>
      </c>
      <c r="B376" t="s">
        <v>70</v>
      </c>
      <c r="C376" t="s">
        <v>27</v>
      </c>
      <c r="D376" t="s">
        <v>44</v>
      </c>
      <c r="E376" t="s">
        <v>66</v>
      </c>
      <c r="F376" t="s">
        <v>76</v>
      </c>
      <c r="G376" t="s">
        <v>45</v>
      </c>
      <c r="H376" t="s">
        <v>32</v>
      </c>
      <c r="I376" t="s">
        <v>33</v>
      </c>
      <c r="J376" s="2">
        <v>45023</v>
      </c>
      <c r="K376" s="2">
        <v>45024</v>
      </c>
      <c r="L376" s="2">
        <v>45031</v>
      </c>
      <c r="M376" s="2">
        <v>45038</v>
      </c>
      <c r="N376" s="2">
        <v>45051</v>
      </c>
      <c r="O376">
        <v>1</v>
      </c>
      <c r="P376">
        <v>1</v>
      </c>
      <c r="Q376">
        <v>1</v>
      </c>
      <c r="R376">
        <v>1</v>
      </c>
      <c r="S376">
        <v>0</v>
      </c>
      <c r="T376" t="s">
        <v>61</v>
      </c>
      <c r="U376">
        <v>99</v>
      </c>
      <c r="V376">
        <v>28</v>
      </c>
      <c r="W376">
        <v>1</v>
      </c>
      <c r="X376">
        <v>457881</v>
      </c>
    </row>
    <row r="377" spans="1:25">
      <c r="A377" s="1" t="s">
        <v>446</v>
      </c>
      <c r="B377" t="s">
        <v>36</v>
      </c>
      <c r="C377" t="s">
        <v>37</v>
      </c>
      <c r="D377" t="s">
        <v>59</v>
      </c>
      <c r="E377" t="s">
        <v>66</v>
      </c>
      <c r="F377" t="s">
        <v>48</v>
      </c>
      <c r="G377" t="s">
        <v>31</v>
      </c>
      <c r="H377" t="s">
        <v>32</v>
      </c>
      <c r="I377" t="s">
        <v>41</v>
      </c>
      <c r="J377" s="2">
        <v>45384</v>
      </c>
      <c r="K377" s="2">
        <v>45387</v>
      </c>
      <c r="L377" s="2">
        <v>45395</v>
      </c>
      <c r="M377" s="2">
        <v>45399</v>
      </c>
      <c r="N377" s="2">
        <v>45406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74</v>
      </c>
      <c r="U377">
        <v>61</v>
      </c>
      <c r="W377">
        <v>1</v>
      </c>
    </row>
    <row r="378" spans="1:25">
      <c r="A378" s="1" t="s">
        <v>447</v>
      </c>
      <c r="B378" t="s">
        <v>58</v>
      </c>
      <c r="C378" t="s">
        <v>37</v>
      </c>
      <c r="D378" t="s">
        <v>44</v>
      </c>
      <c r="E378" t="s">
        <v>63</v>
      </c>
      <c r="F378" t="s">
        <v>67</v>
      </c>
      <c r="G378" t="s">
        <v>39</v>
      </c>
      <c r="H378" t="s">
        <v>32</v>
      </c>
      <c r="I378" t="s">
        <v>33</v>
      </c>
      <c r="J378" s="2">
        <v>45220</v>
      </c>
      <c r="K378" s="2">
        <v>45224</v>
      </c>
      <c r="L378" s="2">
        <v>45234</v>
      </c>
      <c r="M378" s="2">
        <v>45238</v>
      </c>
      <c r="N378" s="2">
        <v>45235</v>
      </c>
      <c r="O378">
        <v>1</v>
      </c>
      <c r="P378">
        <v>1</v>
      </c>
      <c r="Q378">
        <v>0</v>
      </c>
      <c r="R378">
        <v>0</v>
      </c>
      <c r="S378">
        <v>0</v>
      </c>
      <c r="T378" t="s">
        <v>34</v>
      </c>
      <c r="U378">
        <v>94</v>
      </c>
      <c r="W378">
        <v>1</v>
      </c>
    </row>
    <row r="379" spans="1:25">
      <c r="A379" s="1" t="s">
        <v>448</v>
      </c>
      <c r="B379" t="s">
        <v>70</v>
      </c>
      <c r="C379" t="s">
        <v>27</v>
      </c>
      <c r="D379" t="s">
        <v>59</v>
      </c>
      <c r="E379" t="s">
        <v>54</v>
      </c>
      <c r="F379" t="s">
        <v>30</v>
      </c>
      <c r="G379" t="s">
        <v>55</v>
      </c>
      <c r="H379" t="s">
        <v>56</v>
      </c>
      <c r="I379" t="s">
        <v>33</v>
      </c>
      <c r="J379" s="2">
        <v>45266</v>
      </c>
      <c r="K379" s="2">
        <v>45270</v>
      </c>
      <c r="L379" s="2">
        <v>45273</v>
      </c>
      <c r="M379" s="2">
        <v>45278</v>
      </c>
      <c r="N379" s="2">
        <v>45293</v>
      </c>
      <c r="O379">
        <v>1</v>
      </c>
      <c r="P379">
        <v>1</v>
      </c>
      <c r="Q379">
        <v>1</v>
      </c>
      <c r="R379">
        <v>1</v>
      </c>
      <c r="S379">
        <v>0</v>
      </c>
      <c r="T379" t="s">
        <v>61</v>
      </c>
      <c r="U379">
        <v>61</v>
      </c>
      <c r="V379">
        <v>27</v>
      </c>
      <c r="W379">
        <v>2</v>
      </c>
      <c r="X379">
        <v>680095</v>
      </c>
    </row>
    <row r="380" spans="1:25">
      <c r="A380" s="1" t="s">
        <v>449</v>
      </c>
      <c r="B380" t="s">
        <v>43</v>
      </c>
      <c r="C380" t="s">
        <v>27</v>
      </c>
      <c r="D380" t="s">
        <v>28</v>
      </c>
      <c r="E380" t="s">
        <v>54</v>
      </c>
      <c r="F380" t="s">
        <v>48</v>
      </c>
      <c r="G380" t="s">
        <v>45</v>
      </c>
      <c r="H380" t="s">
        <v>32</v>
      </c>
      <c r="I380" t="s">
        <v>41</v>
      </c>
      <c r="J380" s="2">
        <v>45060</v>
      </c>
      <c r="K380" s="2">
        <v>45063</v>
      </c>
      <c r="L380" s="2">
        <v>45066</v>
      </c>
      <c r="M380" s="2">
        <v>45071</v>
      </c>
      <c r="N380" s="2">
        <v>45083</v>
      </c>
      <c r="O380">
        <v>1</v>
      </c>
      <c r="P380">
        <v>1</v>
      </c>
      <c r="Q380">
        <v>1</v>
      </c>
      <c r="R380">
        <v>0</v>
      </c>
      <c r="S380">
        <v>0</v>
      </c>
      <c r="T380" t="s">
        <v>49</v>
      </c>
      <c r="U380">
        <v>58</v>
      </c>
      <c r="W380">
        <v>2</v>
      </c>
      <c r="X380">
        <v>539017</v>
      </c>
      <c r="Y380" t="s">
        <v>80</v>
      </c>
    </row>
    <row r="381" spans="1:25">
      <c r="A381" s="1" t="s">
        <v>450</v>
      </c>
      <c r="B381" t="s">
        <v>26</v>
      </c>
      <c r="C381" t="s">
        <v>71</v>
      </c>
      <c r="D381" t="s">
        <v>59</v>
      </c>
      <c r="E381" t="s">
        <v>102</v>
      </c>
      <c r="F381" t="s">
        <v>76</v>
      </c>
      <c r="G381" t="s">
        <v>60</v>
      </c>
      <c r="H381" t="s">
        <v>40</v>
      </c>
      <c r="I381" t="s">
        <v>41</v>
      </c>
      <c r="J381" s="2">
        <v>45458</v>
      </c>
      <c r="K381" s="2">
        <v>45461</v>
      </c>
      <c r="L381" s="2">
        <v>45471</v>
      </c>
      <c r="M381" s="2">
        <v>45473</v>
      </c>
      <c r="N381" s="2">
        <v>45470</v>
      </c>
      <c r="O381">
        <v>1</v>
      </c>
      <c r="P381">
        <v>1</v>
      </c>
      <c r="Q381">
        <v>0</v>
      </c>
      <c r="R381">
        <v>0</v>
      </c>
      <c r="S381">
        <v>0</v>
      </c>
      <c r="T381" t="s">
        <v>34</v>
      </c>
      <c r="U381">
        <v>82</v>
      </c>
      <c r="W381">
        <v>3</v>
      </c>
    </row>
    <row r="382" spans="1:25">
      <c r="A382" s="1" t="s">
        <v>451</v>
      </c>
      <c r="B382" t="s">
        <v>70</v>
      </c>
      <c r="C382" t="s">
        <v>27</v>
      </c>
      <c r="D382" t="s">
        <v>59</v>
      </c>
      <c r="E382" t="s">
        <v>63</v>
      </c>
      <c r="F382" t="s">
        <v>30</v>
      </c>
      <c r="G382" t="s">
        <v>45</v>
      </c>
      <c r="H382" t="s">
        <v>40</v>
      </c>
      <c r="I382" t="s">
        <v>33</v>
      </c>
      <c r="J382" s="2">
        <v>45345</v>
      </c>
      <c r="K382" s="2">
        <v>45350</v>
      </c>
      <c r="L382" s="2">
        <v>45358</v>
      </c>
      <c r="M382" s="2">
        <v>45360</v>
      </c>
      <c r="N382" s="2">
        <v>45384</v>
      </c>
      <c r="O382">
        <v>1</v>
      </c>
      <c r="P382">
        <v>0</v>
      </c>
      <c r="Q382">
        <v>0</v>
      </c>
      <c r="R382">
        <v>0</v>
      </c>
      <c r="S382">
        <v>0</v>
      </c>
      <c r="T382" t="s">
        <v>34</v>
      </c>
      <c r="U382">
        <v>46</v>
      </c>
      <c r="W382">
        <v>1</v>
      </c>
    </row>
    <row r="383" spans="1:25">
      <c r="A383" s="1" t="s">
        <v>452</v>
      </c>
      <c r="B383" t="s">
        <v>26</v>
      </c>
      <c r="C383" t="s">
        <v>78</v>
      </c>
      <c r="D383" t="s">
        <v>59</v>
      </c>
      <c r="E383" t="s">
        <v>29</v>
      </c>
      <c r="F383" t="s">
        <v>38</v>
      </c>
      <c r="G383" t="s">
        <v>60</v>
      </c>
      <c r="H383" t="s">
        <v>40</v>
      </c>
      <c r="I383" t="s">
        <v>33</v>
      </c>
      <c r="J383" s="2">
        <v>45007</v>
      </c>
      <c r="K383" s="2">
        <v>45008</v>
      </c>
      <c r="L383" s="2">
        <v>45015</v>
      </c>
      <c r="M383" s="2">
        <v>45019</v>
      </c>
      <c r="N383" s="2">
        <v>45022</v>
      </c>
      <c r="O383">
        <v>1</v>
      </c>
      <c r="P383">
        <v>1</v>
      </c>
      <c r="Q383">
        <v>0</v>
      </c>
      <c r="R383">
        <v>0</v>
      </c>
      <c r="S383">
        <v>0</v>
      </c>
      <c r="T383" t="s">
        <v>34</v>
      </c>
      <c r="U383">
        <v>77</v>
      </c>
      <c r="W383">
        <v>10</v>
      </c>
    </row>
    <row r="384" spans="1:25">
      <c r="A384" s="1" t="s">
        <v>453</v>
      </c>
      <c r="B384" t="s">
        <v>26</v>
      </c>
      <c r="C384" t="s">
        <v>71</v>
      </c>
      <c r="D384" t="s">
        <v>44</v>
      </c>
      <c r="E384" t="s">
        <v>66</v>
      </c>
      <c r="F384" t="s">
        <v>30</v>
      </c>
      <c r="G384" t="s">
        <v>45</v>
      </c>
      <c r="H384" t="s">
        <v>56</v>
      </c>
      <c r="I384" t="s">
        <v>41</v>
      </c>
      <c r="J384" s="2">
        <v>44933</v>
      </c>
      <c r="K384" s="2">
        <v>44934</v>
      </c>
      <c r="L384" s="2">
        <v>44937</v>
      </c>
      <c r="M384" s="2">
        <v>44943</v>
      </c>
      <c r="N384" s="2">
        <v>44953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74</v>
      </c>
      <c r="U384">
        <v>49</v>
      </c>
      <c r="W384">
        <v>4</v>
      </c>
    </row>
    <row r="385" spans="1:25">
      <c r="A385" s="1" t="s">
        <v>454</v>
      </c>
      <c r="B385" t="s">
        <v>43</v>
      </c>
      <c r="C385" t="s">
        <v>71</v>
      </c>
      <c r="D385" t="s">
        <v>52</v>
      </c>
      <c r="E385" t="s">
        <v>29</v>
      </c>
      <c r="F385" t="s">
        <v>30</v>
      </c>
      <c r="G385" t="s">
        <v>60</v>
      </c>
      <c r="H385" t="s">
        <v>32</v>
      </c>
      <c r="I385" t="s">
        <v>41</v>
      </c>
      <c r="J385" s="2">
        <v>45400</v>
      </c>
      <c r="K385" s="2">
        <v>45403</v>
      </c>
      <c r="L385" s="2">
        <v>45412</v>
      </c>
      <c r="M385" s="2">
        <v>45417</v>
      </c>
      <c r="N385" s="2">
        <v>45422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74</v>
      </c>
      <c r="U385">
        <v>68</v>
      </c>
      <c r="W385">
        <v>5</v>
      </c>
    </row>
    <row r="386" spans="1:25">
      <c r="A386" s="1" t="s">
        <v>455</v>
      </c>
      <c r="B386" t="s">
        <v>70</v>
      </c>
      <c r="C386" t="s">
        <v>37</v>
      </c>
      <c r="D386" t="s">
        <v>59</v>
      </c>
      <c r="E386" t="s">
        <v>63</v>
      </c>
      <c r="F386" t="s">
        <v>48</v>
      </c>
      <c r="G386" t="s">
        <v>55</v>
      </c>
      <c r="H386" t="s">
        <v>56</v>
      </c>
      <c r="I386" t="s">
        <v>41</v>
      </c>
      <c r="J386" s="2">
        <v>45105</v>
      </c>
      <c r="K386" s="2">
        <v>45108</v>
      </c>
      <c r="L386" s="2">
        <v>45118</v>
      </c>
      <c r="M386" s="2">
        <v>45122</v>
      </c>
      <c r="N386" s="2">
        <v>45128</v>
      </c>
      <c r="O386">
        <v>1</v>
      </c>
      <c r="P386">
        <v>0</v>
      </c>
      <c r="Q386">
        <v>0</v>
      </c>
      <c r="R386">
        <v>0</v>
      </c>
      <c r="S386">
        <v>0</v>
      </c>
      <c r="T386" t="s">
        <v>34</v>
      </c>
      <c r="U386">
        <v>83</v>
      </c>
      <c r="W386">
        <v>1</v>
      </c>
    </row>
    <row r="387" spans="1:25">
      <c r="A387" s="1" t="s">
        <v>456</v>
      </c>
      <c r="B387" t="s">
        <v>58</v>
      </c>
      <c r="C387" t="s">
        <v>47</v>
      </c>
      <c r="D387" t="s">
        <v>59</v>
      </c>
      <c r="E387" t="s">
        <v>29</v>
      </c>
      <c r="F387" t="s">
        <v>48</v>
      </c>
      <c r="G387" t="s">
        <v>31</v>
      </c>
      <c r="H387" t="s">
        <v>32</v>
      </c>
      <c r="I387" t="s">
        <v>33</v>
      </c>
      <c r="J387" s="2">
        <v>45271</v>
      </c>
      <c r="K387" s="2">
        <v>45272</v>
      </c>
      <c r="L387" s="2">
        <v>45280</v>
      </c>
      <c r="M387" s="2">
        <v>45287</v>
      </c>
      <c r="N387" s="2">
        <v>45291</v>
      </c>
      <c r="O387">
        <v>1</v>
      </c>
      <c r="P387">
        <v>1</v>
      </c>
      <c r="Q387">
        <v>0</v>
      </c>
      <c r="R387">
        <v>0</v>
      </c>
      <c r="S387">
        <v>0</v>
      </c>
      <c r="T387" t="s">
        <v>34</v>
      </c>
      <c r="U387">
        <v>81</v>
      </c>
      <c r="W387">
        <v>10</v>
      </c>
    </row>
    <row r="388" spans="1:25">
      <c r="A388" s="1" t="s">
        <v>457</v>
      </c>
      <c r="B388" t="s">
        <v>43</v>
      </c>
      <c r="C388" t="s">
        <v>78</v>
      </c>
      <c r="D388" t="s">
        <v>28</v>
      </c>
      <c r="E388" t="s">
        <v>29</v>
      </c>
      <c r="F388" t="s">
        <v>76</v>
      </c>
      <c r="G388" t="s">
        <v>60</v>
      </c>
      <c r="H388" t="s">
        <v>32</v>
      </c>
      <c r="I388" t="s">
        <v>33</v>
      </c>
      <c r="J388" s="2">
        <v>45193</v>
      </c>
      <c r="K388" s="2">
        <v>45196</v>
      </c>
      <c r="L388" s="2">
        <v>45204</v>
      </c>
      <c r="M388" s="2">
        <v>45206</v>
      </c>
      <c r="N388" s="2">
        <v>45221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74</v>
      </c>
      <c r="U388">
        <v>87</v>
      </c>
      <c r="W388">
        <v>8</v>
      </c>
    </row>
    <row r="389" spans="1:25">
      <c r="A389" s="1" t="s">
        <v>458</v>
      </c>
      <c r="B389" t="s">
        <v>26</v>
      </c>
      <c r="C389" t="s">
        <v>47</v>
      </c>
      <c r="D389" t="s">
        <v>44</v>
      </c>
      <c r="E389" t="s">
        <v>66</v>
      </c>
      <c r="F389" t="s">
        <v>67</v>
      </c>
      <c r="G389" t="s">
        <v>31</v>
      </c>
      <c r="H389" t="s">
        <v>56</v>
      </c>
      <c r="I389" t="s">
        <v>41</v>
      </c>
      <c r="J389" s="2">
        <v>45200</v>
      </c>
      <c r="K389" s="2">
        <v>45205</v>
      </c>
      <c r="L389" s="2">
        <v>45213</v>
      </c>
      <c r="M389" s="2">
        <v>45215</v>
      </c>
      <c r="N389" s="2">
        <v>45220</v>
      </c>
      <c r="O389">
        <v>1</v>
      </c>
      <c r="P389">
        <v>1</v>
      </c>
      <c r="Q389">
        <v>1</v>
      </c>
      <c r="R389">
        <v>1</v>
      </c>
      <c r="S389">
        <v>0</v>
      </c>
      <c r="T389" t="s">
        <v>61</v>
      </c>
      <c r="U389">
        <v>78</v>
      </c>
      <c r="V389">
        <v>20</v>
      </c>
      <c r="W389">
        <v>15</v>
      </c>
      <c r="X389">
        <v>2759661</v>
      </c>
    </row>
    <row r="390" spans="1:25">
      <c r="A390" s="1" t="s">
        <v>459</v>
      </c>
      <c r="B390" t="s">
        <v>70</v>
      </c>
      <c r="C390" t="s">
        <v>71</v>
      </c>
      <c r="D390" t="s">
        <v>44</v>
      </c>
      <c r="E390" t="s">
        <v>66</v>
      </c>
      <c r="F390" t="s">
        <v>38</v>
      </c>
      <c r="G390" t="s">
        <v>60</v>
      </c>
      <c r="H390" t="s">
        <v>32</v>
      </c>
      <c r="I390" t="s">
        <v>41</v>
      </c>
      <c r="J390" s="2">
        <v>45399</v>
      </c>
      <c r="K390" s="2">
        <v>45401</v>
      </c>
      <c r="L390" s="2">
        <v>45409</v>
      </c>
      <c r="M390" s="2">
        <v>45416</v>
      </c>
      <c r="N390" s="2">
        <v>45425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74</v>
      </c>
      <c r="U390">
        <v>54</v>
      </c>
      <c r="W390">
        <v>6</v>
      </c>
    </row>
    <row r="391" spans="1:25">
      <c r="A391" s="1" t="s">
        <v>460</v>
      </c>
      <c r="B391" t="s">
        <v>26</v>
      </c>
      <c r="C391" t="s">
        <v>27</v>
      </c>
      <c r="D391" t="s">
        <v>44</v>
      </c>
      <c r="E391" t="s">
        <v>63</v>
      </c>
      <c r="F391" t="s">
        <v>38</v>
      </c>
      <c r="G391" t="s">
        <v>55</v>
      </c>
      <c r="H391" t="s">
        <v>56</v>
      </c>
      <c r="I391" t="s">
        <v>33</v>
      </c>
      <c r="J391" s="2">
        <v>44995</v>
      </c>
      <c r="K391" s="2">
        <v>45000</v>
      </c>
      <c r="L391" s="2">
        <v>45004</v>
      </c>
      <c r="M391" s="2">
        <v>45006</v>
      </c>
      <c r="N391" s="2">
        <v>45009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34</v>
      </c>
      <c r="U391">
        <v>46</v>
      </c>
      <c r="W391">
        <v>1</v>
      </c>
    </row>
    <row r="392" spans="1:25">
      <c r="A392" s="1" t="s">
        <v>461</v>
      </c>
      <c r="B392" t="s">
        <v>36</v>
      </c>
      <c r="C392" t="s">
        <v>47</v>
      </c>
      <c r="D392" t="s">
        <v>59</v>
      </c>
      <c r="E392" t="s">
        <v>63</v>
      </c>
      <c r="F392" t="s">
        <v>64</v>
      </c>
      <c r="G392" t="s">
        <v>39</v>
      </c>
      <c r="H392" t="s">
        <v>56</v>
      </c>
      <c r="I392" t="s">
        <v>33</v>
      </c>
      <c r="J392" s="2">
        <v>44957</v>
      </c>
      <c r="K392" s="2">
        <v>44961</v>
      </c>
      <c r="L392" s="2">
        <v>44966</v>
      </c>
      <c r="M392" s="2">
        <v>44970</v>
      </c>
      <c r="N392" s="2">
        <v>44987</v>
      </c>
      <c r="O392">
        <v>1</v>
      </c>
      <c r="P392">
        <v>1</v>
      </c>
      <c r="Q392">
        <v>1</v>
      </c>
      <c r="R392">
        <v>0</v>
      </c>
      <c r="S392">
        <v>0</v>
      </c>
      <c r="T392" t="s">
        <v>49</v>
      </c>
      <c r="U392">
        <v>45</v>
      </c>
      <c r="W392">
        <v>14</v>
      </c>
      <c r="X392">
        <v>2892613</v>
      </c>
      <c r="Y392" t="s">
        <v>68</v>
      </c>
    </row>
    <row r="393" spans="1:25">
      <c r="A393" s="1" t="s">
        <v>462</v>
      </c>
      <c r="B393" t="s">
        <v>36</v>
      </c>
      <c r="C393" t="s">
        <v>47</v>
      </c>
      <c r="D393" t="s">
        <v>59</v>
      </c>
      <c r="E393" t="s">
        <v>29</v>
      </c>
      <c r="F393" t="s">
        <v>76</v>
      </c>
      <c r="G393" t="s">
        <v>60</v>
      </c>
      <c r="H393" t="s">
        <v>56</v>
      </c>
      <c r="I393" t="s">
        <v>33</v>
      </c>
      <c r="J393" s="2">
        <v>45035</v>
      </c>
      <c r="K393" s="2">
        <v>45040</v>
      </c>
      <c r="L393" s="2">
        <v>45043</v>
      </c>
      <c r="M393" s="2">
        <v>45047</v>
      </c>
      <c r="N393" s="2">
        <v>45054</v>
      </c>
      <c r="O393">
        <v>1</v>
      </c>
      <c r="P393">
        <v>1</v>
      </c>
      <c r="Q393">
        <v>1</v>
      </c>
      <c r="R393">
        <v>1</v>
      </c>
      <c r="S393">
        <v>0</v>
      </c>
      <c r="T393" t="s">
        <v>61</v>
      </c>
      <c r="U393">
        <v>97</v>
      </c>
      <c r="V393">
        <v>19</v>
      </c>
      <c r="W393">
        <v>14</v>
      </c>
      <c r="X393">
        <v>3040310</v>
      </c>
    </row>
    <row r="394" spans="1:25">
      <c r="A394" s="1" t="s">
        <v>463</v>
      </c>
      <c r="B394" t="s">
        <v>70</v>
      </c>
      <c r="C394" t="s">
        <v>47</v>
      </c>
      <c r="D394" t="s">
        <v>59</v>
      </c>
      <c r="E394" t="s">
        <v>29</v>
      </c>
      <c r="F394" t="s">
        <v>38</v>
      </c>
      <c r="G394" t="s">
        <v>55</v>
      </c>
      <c r="H394" t="s">
        <v>32</v>
      </c>
      <c r="I394" t="s">
        <v>41</v>
      </c>
      <c r="J394" s="2">
        <v>45382</v>
      </c>
      <c r="K394" s="2">
        <v>45383</v>
      </c>
      <c r="L394" s="2">
        <v>45392</v>
      </c>
      <c r="M394" s="2">
        <v>45396</v>
      </c>
      <c r="N394" s="2">
        <v>45407</v>
      </c>
      <c r="O394">
        <v>1</v>
      </c>
      <c r="P394">
        <v>1</v>
      </c>
      <c r="Q394">
        <v>1</v>
      </c>
      <c r="R394">
        <v>1</v>
      </c>
      <c r="S394">
        <v>0</v>
      </c>
      <c r="T394" t="s">
        <v>61</v>
      </c>
      <c r="U394">
        <v>54</v>
      </c>
      <c r="V394">
        <v>25</v>
      </c>
      <c r="W394">
        <v>10</v>
      </c>
      <c r="X394">
        <v>2368403</v>
      </c>
    </row>
    <row r="395" spans="1:25">
      <c r="A395" s="1" t="s">
        <v>464</v>
      </c>
      <c r="B395" t="s">
        <v>26</v>
      </c>
      <c r="C395" t="s">
        <v>71</v>
      </c>
      <c r="D395" t="s">
        <v>59</v>
      </c>
      <c r="E395" t="s">
        <v>54</v>
      </c>
      <c r="F395" t="s">
        <v>48</v>
      </c>
      <c r="G395" t="s">
        <v>39</v>
      </c>
      <c r="H395" t="s">
        <v>32</v>
      </c>
      <c r="I395" t="s">
        <v>41</v>
      </c>
      <c r="J395" s="2">
        <v>45435</v>
      </c>
      <c r="K395" s="2">
        <v>45440</v>
      </c>
      <c r="L395" s="2">
        <v>45448</v>
      </c>
      <c r="M395" s="2">
        <v>45453</v>
      </c>
      <c r="N395" s="2">
        <v>45457</v>
      </c>
      <c r="O395">
        <v>1</v>
      </c>
      <c r="P395">
        <v>1</v>
      </c>
      <c r="Q395">
        <v>1</v>
      </c>
      <c r="R395">
        <v>0</v>
      </c>
      <c r="S395">
        <v>0</v>
      </c>
      <c r="T395" t="s">
        <v>49</v>
      </c>
      <c r="U395">
        <v>83</v>
      </c>
      <c r="W395">
        <v>3</v>
      </c>
      <c r="X395">
        <v>1064954</v>
      </c>
      <c r="Y395" t="s">
        <v>68</v>
      </c>
    </row>
    <row r="396" spans="1:25">
      <c r="A396" s="1" t="s">
        <v>465</v>
      </c>
      <c r="B396" t="s">
        <v>90</v>
      </c>
      <c r="C396" t="s">
        <v>27</v>
      </c>
      <c r="D396" t="s">
        <v>44</v>
      </c>
      <c r="E396" t="s">
        <v>102</v>
      </c>
      <c r="F396" t="s">
        <v>48</v>
      </c>
      <c r="G396" t="s">
        <v>60</v>
      </c>
      <c r="H396" t="s">
        <v>56</v>
      </c>
      <c r="I396" t="s">
        <v>33</v>
      </c>
      <c r="J396" s="2">
        <v>45238</v>
      </c>
      <c r="K396" s="2">
        <v>45241</v>
      </c>
      <c r="L396" s="2">
        <v>45246</v>
      </c>
      <c r="M396" s="2">
        <v>45250</v>
      </c>
      <c r="N396" s="2">
        <v>45272</v>
      </c>
      <c r="O396">
        <v>1</v>
      </c>
      <c r="P396">
        <v>0</v>
      </c>
      <c r="Q396">
        <v>0</v>
      </c>
      <c r="R396">
        <v>0</v>
      </c>
      <c r="S396">
        <v>0</v>
      </c>
      <c r="T396" t="s">
        <v>34</v>
      </c>
      <c r="U396">
        <v>58</v>
      </c>
      <c r="W396">
        <v>0</v>
      </c>
    </row>
    <row r="397" spans="1:25">
      <c r="A397" s="1" t="s">
        <v>466</v>
      </c>
      <c r="B397" t="s">
        <v>43</v>
      </c>
      <c r="C397" t="s">
        <v>78</v>
      </c>
      <c r="D397" t="s">
        <v>59</v>
      </c>
      <c r="E397" t="s">
        <v>29</v>
      </c>
      <c r="F397" t="s">
        <v>64</v>
      </c>
      <c r="G397" t="s">
        <v>55</v>
      </c>
      <c r="H397" t="s">
        <v>40</v>
      </c>
      <c r="I397" t="s">
        <v>33</v>
      </c>
      <c r="J397" s="2">
        <v>45195</v>
      </c>
      <c r="K397" s="2">
        <v>45196</v>
      </c>
      <c r="L397" s="2">
        <v>45204</v>
      </c>
      <c r="M397" s="2">
        <v>45208</v>
      </c>
      <c r="N397" s="2">
        <v>45213</v>
      </c>
      <c r="O397">
        <v>1</v>
      </c>
      <c r="P397">
        <v>1</v>
      </c>
      <c r="Q397">
        <v>0</v>
      </c>
      <c r="R397">
        <v>0</v>
      </c>
      <c r="S397">
        <v>0</v>
      </c>
      <c r="T397" t="s">
        <v>34</v>
      </c>
      <c r="U397">
        <v>89</v>
      </c>
      <c r="W397">
        <v>6</v>
      </c>
    </row>
    <row r="398" spans="1:25">
      <c r="A398" s="1" t="s">
        <v>467</v>
      </c>
      <c r="B398" t="s">
        <v>58</v>
      </c>
      <c r="C398" t="s">
        <v>47</v>
      </c>
      <c r="D398" t="s">
        <v>44</v>
      </c>
      <c r="E398" t="s">
        <v>66</v>
      </c>
      <c r="F398" t="s">
        <v>38</v>
      </c>
      <c r="G398" t="s">
        <v>31</v>
      </c>
      <c r="H398" t="s">
        <v>56</v>
      </c>
      <c r="I398" t="s">
        <v>33</v>
      </c>
      <c r="J398" s="2">
        <v>44929</v>
      </c>
      <c r="K398" s="2">
        <v>44932</v>
      </c>
      <c r="L398" s="2">
        <v>44940</v>
      </c>
      <c r="M398" s="2">
        <v>44943</v>
      </c>
      <c r="N398" s="2">
        <v>44948</v>
      </c>
      <c r="O398">
        <v>1</v>
      </c>
      <c r="P398">
        <v>1</v>
      </c>
      <c r="Q398">
        <v>0</v>
      </c>
      <c r="R398">
        <v>0</v>
      </c>
      <c r="S398">
        <v>0</v>
      </c>
      <c r="T398" t="s">
        <v>34</v>
      </c>
      <c r="U398">
        <v>52</v>
      </c>
      <c r="W398">
        <v>14</v>
      </c>
    </row>
    <row r="399" spans="1:25">
      <c r="A399" s="1" t="s">
        <v>468</v>
      </c>
      <c r="B399" t="s">
        <v>43</v>
      </c>
      <c r="C399" t="s">
        <v>47</v>
      </c>
      <c r="D399" t="s">
        <v>73</v>
      </c>
      <c r="E399" t="s">
        <v>29</v>
      </c>
      <c r="F399" t="s">
        <v>67</v>
      </c>
      <c r="G399" t="s">
        <v>39</v>
      </c>
      <c r="H399" t="s">
        <v>32</v>
      </c>
      <c r="I399" t="s">
        <v>33</v>
      </c>
      <c r="J399" s="2">
        <v>45138</v>
      </c>
      <c r="K399" s="2">
        <v>45142</v>
      </c>
      <c r="L399" s="2">
        <v>45151</v>
      </c>
      <c r="M399" s="2">
        <v>45155</v>
      </c>
      <c r="N399" s="2">
        <v>45164</v>
      </c>
      <c r="O399">
        <v>1</v>
      </c>
      <c r="P399">
        <v>0</v>
      </c>
      <c r="Q399">
        <v>0</v>
      </c>
      <c r="R399">
        <v>0</v>
      </c>
      <c r="S399">
        <v>0</v>
      </c>
      <c r="T399" t="s">
        <v>34</v>
      </c>
      <c r="U399">
        <v>48</v>
      </c>
      <c r="W399">
        <v>13</v>
      </c>
    </row>
    <row r="400" spans="1:25">
      <c r="A400" s="1" t="s">
        <v>469</v>
      </c>
      <c r="B400" t="s">
        <v>43</v>
      </c>
      <c r="C400" t="s">
        <v>78</v>
      </c>
      <c r="D400" t="s">
        <v>44</v>
      </c>
      <c r="E400" t="s">
        <v>66</v>
      </c>
      <c r="F400" t="s">
        <v>48</v>
      </c>
      <c r="G400" t="s">
        <v>55</v>
      </c>
      <c r="H400" t="s">
        <v>40</v>
      </c>
      <c r="I400" t="s">
        <v>41</v>
      </c>
      <c r="J400" s="2">
        <v>45284</v>
      </c>
      <c r="K400" s="2">
        <v>45288</v>
      </c>
      <c r="L400" s="2">
        <v>45297</v>
      </c>
      <c r="M400" s="2">
        <v>45304</v>
      </c>
      <c r="N400" s="2">
        <v>45300</v>
      </c>
      <c r="O400">
        <v>1</v>
      </c>
      <c r="P400">
        <v>0</v>
      </c>
      <c r="Q400">
        <v>0</v>
      </c>
      <c r="R400">
        <v>0</v>
      </c>
      <c r="S400">
        <v>0</v>
      </c>
      <c r="T400" t="s">
        <v>34</v>
      </c>
      <c r="U400">
        <v>51</v>
      </c>
      <c r="W400">
        <v>8</v>
      </c>
    </row>
    <row r="401" spans="1:25">
      <c r="A401" s="1" t="s">
        <v>470</v>
      </c>
      <c r="B401" t="s">
        <v>70</v>
      </c>
      <c r="C401" t="s">
        <v>37</v>
      </c>
      <c r="D401" t="s">
        <v>28</v>
      </c>
      <c r="E401" t="s">
        <v>102</v>
      </c>
      <c r="F401" t="s">
        <v>48</v>
      </c>
      <c r="G401" t="s">
        <v>45</v>
      </c>
      <c r="H401" t="s">
        <v>32</v>
      </c>
      <c r="I401" t="s">
        <v>41</v>
      </c>
      <c r="J401" s="2">
        <v>44968</v>
      </c>
      <c r="K401" s="2">
        <v>44969</v>
      </c>
      <c r="L401" s="2">
        <v>44974</v>
      </c>
      <c r="M401" s="2">
        <v>44981</v>
      </c>
      <c r="N401" s="2">
        <v>44994</v>
      </c>
      <c r="O401">
        <v>1</v>
      </c>
      <c r="P401">
        <v>0</v>
      </c>
      <c r="Q401">
        <v>0</v>
      </c>
      <c r="R401">
        <v>0</v>
      </c>
      <c r="S401">
        <v>0</v>
      </c>
      <c r="T401" t="s">
        <v>34</v>
      </c>
      <c r="U401">
        <v>58</v>
      </c>
      <c r="W401">
        <v>1</v>
      </c>
    </row>
    <row r="402" spans="1:25">
      <c r="A402" s="1" t="s">
        <v>471</v>
      </c>
      <c r="B402" t="s">
        <v>70</v>
      </c>
      <c r="C402" t="s">
        <v>27</v>
      </c>
      <c r="D402" t="s">
        <v>28</v>
      </c>
      <c r="E402" t="s">
        <v>102</v>
      </c>
      <c r="F402" t="s">
        <v>67</v>
      </c>
      <c r="G402" t="s">
        <v>39</v>
      </c>
      <c r="H402" t="s">
        <v>32</v>
      </c>
      <c r="I402" t="s">
        <v>33</v>
      </c>
      <c r="J402" s="2">
        <v>45339</v>
      </c>
      <c r="K402" s="2">
        <v>45344</v>
      </c>
      <c r="L402" s="2">
        <v>45354</v>
      </c>
      <c r="M402" s="2">
        <v>45361</v>
      </c>
      <c r="N402" s="2">
        <v>45364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74</v>
      </c>
      <c r="U402">
        <v>79</v>
      </c>
      <c r="W402">
        <v>0</v>
      </c>
    </row>
    <row r="403" spans="1:25">
      <c r="A403" s="1" t="s">
        <v>472</v>
      </c>
      <c r="B403" t="s">
        <v>26</v>
      </c>
      <c r="C403" t="s">
        <v>47</v>
      </c>
      <c r="D403" t="s">
        <v>44</v>
      </c>
      <c r="E403" t="s">
        <v>63</v>
      </c>
      <c r="F403" t="s">
        <v>67</v>
      </c>
      <c r="G403" t="s">
        <v>60</v>
      </c>
      <c r="H403" t="s">
        <v>56</v>
      </c>
      <c r="I403" t="s">
        <v>33</v>
      </c>
      <c r="J403" s="2">
        <v>45397</v>
      </c>
      <c r="K403" s="2">
        <v>45400</v>
      </c>
      <c r="L403" s="2">
        <v>45406</v>
      </c>
      <c r="M403" s="2">
        <v>45409</v>
      </c>
      <c r="N403" s="2">
        <v>45414</v>
      </c>
      <c r="O403">
        <v>1</v>
      </c>
      <c r="P403">
        <v>0</v>
      </c>
      <c r="Q403">
        <v>0</v>
      </c>
      <c r="R403">
        <v>0</v>
      </c>
      <c r="S403">
        <v>0</v>
      </c>
      <c r="T403" t="s">
        <v>34</v>
      </c>
      <c r="U403">
        <v>63</v>
      </c>
      <c r="W403">
        <v>14</v>
      </c>
    </row>
    <row r="404" spans="1:25">
      <c r="A404" s="1" t="s">
        <v>473</v>
      </c>
      <c r="B404" t="s">
        <v>90</v>
      </c>
      <c r="C404" t="s">
        <v>47</v>
      </c>
      <c r="D404" t="s">
        <v>59</v>
      </c>
      <c r="E404" t="s">
        <v>29</v>
      </c>
      <c r="F404" t="s">
        <v>30</v>
      </c>
      <c r="G404" t="s">
        <v>45</v>
      </c>
      <c r="H404" t="s">
        <v>32</v>
      </c>
      <c r="I404" t="s">
        <v>33</v>
      </c>
      <c r="J404" s="2">
        <v>44961</v>
      </c>
      <c r="K404" s="2">
        <v>44963</v>
      </c>
      <c r="L404" s="2">
        <v>44966</v>
      </c>
      <c r="M404" s="2">
        <v>44970</v>
      </c>
      <c r="N404" s="2">
        <v>44993</v>
      </c>
      <c r="O404">
        <v>1</v>
      </c>
      <c r="P404">
        <v>0</v>
      </c>
      <c r="Q404">
        <v>0</v>
      </c>
      <c r="R404">
        <v>0</v>
      </c>
      <c r="S404">
        <v>1</v>
      </c>
      <c r="T404" t="s">
        <v>34</v>
      </c>
      <c r="U404">
        <v>59</v>
      </c>
      <c r="W404">
        <v>14</v>
      </c>
    </row>
    <row r="405" spans="1:25">
      <c r="A405" s="1" t="s">
        <v>474</v>
      </c>
      <c r="B405" t="s">
        <v>90</v>
      </c>
      <c r="C405" t="s">
        <v>47</v>
      </c>
      <c r="D405" t="s">
        <v>44</v>
      </c>
      <c r="E405" t="s">
        <v>29</v>
      </c>
      <c r="F405" t="s">
        <v>67</v>
      </c>
      <c r="G405" t="s">
        <v>60</v>
      </c>
      <c r="H405" t="s">
        <v>40</v>
      </c>
      <c r="I405" t="s">
        <v>41</v>
      </c>
      <c r="J405" s="2">
        <v>45151</v>
      </c>
      <c r="K405" s="2">
        <v>45156</v>
      </c>
      <c r="L405" s="2">
        <v>45165</v>
      </c>
      <c r="M405" s="2">
        <v>45167</v>
      </c>
      <c r="N405" s="2">
        <v>45173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74</v>
      </c>
      <c r="U405">
        <v>51</v>
      </c>
      <c r="W405">
        <v>9</v>
      </c>
    </row>
    <row r="406" spans="1:25">
      <c r="A406" s="1" t="s">
        <v>475</v>
      </c>
      <c r="B406" t="s">
        <v>90</v>
      </c>
      <c r="C406" t="s">
        <v>47</v>
      </c>
      <c r="D406" t="s">
        <v>44</v>
      </c>
      <c r="E406" t="s">
        <v>66</v>
      </c>
      <c r="F406" t="s">
        <v>48</v>
      </c>
      <c r="G406" t="s">
        <v>31</v>
      </c>
      <c r="H406" t="s">
        <v>40</v>
      </c>
      <c r="I406" t="s">
        <v>41</v>
      </c>
      <c r="J406" s="2">
        <v>44971</v>
      </c>
      <c r="K406" s="2">
        <v>44972</v>
      </c>
      <c r="L406" s="2">
        <v>44977</v>
      </c>
      <c r="M406" s="2">
        <v>44982</v>
      </c>
      <c r="N406" s="2">
        <v>45005</v>
      </c>
      <c r="O406">
        <v>1</v>
      </c>
      <c r="P406">
        <v>1</v>
      </c>
      <c r="Q406">
        <v>1</v>
      </c>
      <c r="R406">
        <v>0</v>
      </c>
      <c r="S406">
        <v>0</v>
      </c>
      <c r="T406" t="s">
        <v>49</v>
      </c>
      <c r="U406">
        <v>56</v>
      </c>
      <c r="W406">
        <v>14</v>
      </c>
      <c r="X406">
        <v>2598500</v>
      </c>
      <c r="Y406" t="s">
        <v>87</v>
      </c>
    </row>
    <row r="407" spans="1:25">
      <c r="A407" s="1" t="s">
        <v>476</v>
      </c>
      <c r="B407" t="s">
        <v>70</v>
      </c>
      <c r="C407" t="s">
        <v>78</v>
      </c>
      <c r="D407" t="s">
        <v>59</v>
      </c>
      <c r="E407" t="s">
        <v>63</v>
      </c>
      <c r="F407" t="s">
        <v>48</v>
      </c>
      <c r="G407" t="s">
        <v>45</v>
      </c>
      <c r="H407" t="s">
        <v>40</v>
      </c>
      <c r="I407" t="s">
        <v>33</v>
      </c>
      <c r="J407" s="2">
        <v>45370</v>
      </c>
      <c r="K407" s="2">
        <v>45375</v>
      </c>
      <c r="L407" s="2">
        <v>45384</v>
      </c>
      <c r="M407" s="2">
        <v>45391</v>
      </c>
      <c r="N407" s="2">
        <v>45397</v>
      </c>
      <c r="O407">
        <v>1</v>
      </c>
      <c r="P407">
        <v>0</v>
      </c>
      <c r="Q407">
        <v>0</v>
      </c>
      <c r="R407">
        <v>0</v>
      </c>
      <c r="S407">
        <v>0</v>
      </c>
      <c r="T407" t="s">
        <v>34</v>
      </c>
      <c r="U407">
        <v>53</v>
      </c>
      <c r="W407">
        <v>7</v>
      </c>
    </row>
    <row r="408" spans="1:25">
      <c r="A408" s="1" t="s">
        <v>477</v>
      </c>
      <c r="B408" t="s">
        <v>26</v>
      </c>
      <c r="C408" t="s">
        <v>78</v>
      </c>
      <c r="D408" t="s">
        <v>28</v>
      </c>
      <c r="E408" t="s">
        <v>29</v>
      </c>
      <c r="F408" t="s">
        <v>67</v>
      </c>
      <c r="G408" t="s">
        <v>55</v>
      </c>
      <c r="H408" t="s">
        <v>56</v>
      </c>
      <c r="I408" t="s">
        <v>41</v>
      </c>
      <c r="J408" s="2">
        <v>45336</v>
      </c>
      <c r="K408" s="2">
        <v>45338</v>
      </c>
      <c r="L408" s="2">
        <v>45345</v>
      </c>
      <c r="M408" s="2">
        <v>45349</v>
      </c>
      <c r="N408" s="2">
        <v>45350</v>
      </c>
      <c r="O408">
        <v>1</v>
      </c>
      <c r="P408">
        <v>1</v>
      </c>
      <c r="Q408">
        <v>1</v>
      </c>
      <c r="R408">
        <v>0</v>
      </c>
      <c r="S408">
        <v>0</v>
      </c>
      <c r="T408" t="s">
        <v>49</v>
      </c>
      <c r="U408">
        <v>92</v>
      </c>
      <c r="W408">
        <v>9</v>
      </c>
      <c r="X408">
        <v>2039119</v>
      </c>
      <c r="Y408" t="s">
        <v>50</v>
      </c>
    </row>
    <row r="409" spans="1:25">
      <c r="A409" s="1" t="s">
        <v>478</v>
      </c>
      <c r="B409" t="s">
        <v>70</v>
      </c>
      <c r="C409" t="s">
        <v>78</v>
      </c>
      <c r="D409" t="s">
        <v>59</v>
      </c>
      <c r="E409" t="s">
        <v>29</v>
      </c>
      <c r="F409" t="s">
        <v>48</v>
      </c>
      <c r="G409" t="s">
        <v>60</v>
      </c>
      <c r="H409" t="s">
        <v>40</v>
      </c>
      <c r="I409" t="s">
        <v>41</v>
      </c>
      <c r="J409" s="2">
        <v>45301</v>
      </c>
      <c r="K409" s="2">
        <v>45302</v>
      </c>
      <c r="L409" s="2">
        <v>45305</v>
      </c>
      <c r="M409" s="2">
        <v>45311</v>
      </c>
      <c r="N409" s="2">
        <v>45341</v>
      </c>
      <c r="O409">
        <v>1</v>
      </c>
      <c r="P409">
        <v>1</v>
      </c>
      <c r="Q409">
        <v>1</v>
      </c>
      <c r="R409">
        <v>0</v>
      </c>
      <c r="S409">
        <v>0</v>
      </c>
      <c r="T409" t="s">
        <v>49</v>
      </c>
      <c r="U409">
        <v>50</v>
      </c>
      <c r="W409">
        <v>8</v>
      </c>
      <c r="X409">
        <v>2070920</v>
      </c>
      <c r="Y409" t="s">
        <v>80</v>
      </c>
    </row>
    <row r="410" spans="1:25">
      <c r="A410" s="1" t="s">
        <v>479</v>
      </c>
      <c r="B410" t="s">
        <v>70</v>
      </c>
      <c r="C410" t="s">
        <v>71</v>
      </c>
      <c r="D410" t="s">
        <v>73</v>
      </c>
      <c r="E410" t="s">
        <v>54</v>
      </c>
      <c r="F410" t="s">
        <v>38</v>
      </c>
      <c r="G410" t="s">
        <v>39</v>
      </c>
      <c r="H410" t="s">
        <v>56</v>
      </c>
      <c r="I410" t="s">
        <v>33</v>
      </c>
      <c r="J410" s="2">
        <v>45265</v>
      </c>
      <c r="K410" s="2">
        <v>45268</v>
      </c>
      <c r="L410" s="2">
        <v>45275</v>
      </c>
      <c r="M410" s="2">
        <v>45279</v>
      </c>
      <c r="N410" s="2">
        <v>45287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74</v>
      </c>
      <c r="U410">
        <v>47</v>
      </c>
      <c r="W410">
        <v>7</v>
      </c>
    </row>
    <row r="411" spans="1:25">
      <c r="A411" s="1" t="s">
        <v>480</v>
      </c>
      <c r="B411" t="s">
        <v>90</v>
      </c>
      <c r="C411" t="s">
        <v>27</v>
      </c>
      <c r="D411" t="s">
        <v>44</v>
      </c>
      <c r="E411" t="s">
        <v>29</v>
      </c>
      <c r="F411" t="s">
        <v>30</v>
      </c>
      <c r="G411" t="s">
        <v>45</v>
      </c>
      <c r="H411" t="s">
        <v>40</v>
      </c>
      <c r="I411" t="s">
        <v>41</v>
      </c>
      <c r="J411" s="2">
        <v>45352</v>
      </c>
      <c r="K411" s="2">
        <v>45357</v>
      </c>
      <c r="L411" s="2">
        <v>45364</v>
      </c>
      <c r="M411" s="2">
        <v>45366</v>
      </c>
      <c r="N411" s="2">
        <v>45381</v>
      </c>
      <c r="O411">
        <v>1</v>
      </c>
      <c r="P411">
        <v>0</v>
      </c>
      <c r="Q411">
        <v>0</v>
      </c>
      <c r="R411">
        <v>0</v>
      </c>
      <c r="S411">
        <v>0</v>
      </c>
      <c r="T411" t="s">
        <v>34</v>
      </c>
      <c r="U411">
        <v>54</v>
      </c>
      <c r="W411">
        <v>1</v>
      </c>
    </row>
    <row r="412" spans="1:25">
      <c r="A412" s="1" t="s">
        <v>481</v>
      </c>
      <c r="B412" t="s">
        <v>58</v>
      </c>
      <c r="C412" t="s">
        <v>27</v>
      </c>
      <c r="D412" t="s">
        <v>59</v>
      </c>
      <c r="E412" t="s">
        <v>54</v>
      </c>
      <c r="F412" t="s">
        <v>48</v>
      </c>
      <c r="G412" t="s">
        <v>45</v>
      </c>
      <c r="H412" t="s">
        <v>32</v>
      </c>
      <c r="I412" t="s">
        <v>41</v>
      </c>
      <c r="J412" s="2">
        <v>45445</v>
      </c>
      <c r="K412" s="2">
        <v>45448</v>
      </c>
      <c r="L412" s="2">
        <v>45458</v>
      </c>
      <c r="M412" s="2">
        <v>45464</v>
      </c>
      <c r="N412" s="2">
        <v>45455</v>
      </c>
      <c r="O412">
        <v>1</v>
      </c>
      <c r="P412">
        <v>1</v>
      </c>
      <c r="Q412">
        <v>1</v>
      </c>
      <c r="R412">
        <v>0</v>
      </c>
      <c r="S412">
        <v>0</v>
      </c>
      <c r="T412" t="s">
        <v>49</v>
      </c>
      <c r="U412">
        <v>64</v>
      </c>
      <c r="W412">
        <v>2</v>
      </c>
      <c r="X412">
        <v>458600</v>
      </c>
      <c r="Y412" t="s">
        <v>50</v>
      </c>
    </row>
    <row r="413" spans="1:25">
      <c r="A413" s="1" t="s">
        <v>482</v>
      </c>
      <c r="B413" t="s">
        <v>70</v>
      </c>
      <c r="C413" t="s">
        <v>37</v>
      </c>
      <c r="D413" t="s">
        <v>44</v>
      </c>
      <c r="E413" t="s">
        <v>66</v>
      </c>
      <c r="F413" t="s">
        <v>76</v>
      </c>
      <c r="G413" t="s">
        <v>60</v>
      </c>
      <c r="H413" t="s">
        <v>40</v>
      </c>
      <c r="I413" t="s">
        <v>33</v>
      </c>
      <c r="J413" s="2">
        <v>45152</v>
      </c>
      <c r="K413" s="2">
        <v>45155</v>
      </c>
      <c r="L413" s="2">
        <v>45159</v>
      </c>
      <c r="M413" s="2">
        <v>45165</v>
      </c>
      <c r="N413" s="2">
        <v>45178</v>
      </c>
      <c r="O413">
        <v>1</v>
      </c>
      <c r="P413">
        <v>1</v>
      </c>
      <c r="Q413">
        <v>0</v>
      </c>
      <c r="R413">
        <v>0</v>
      </c>
      <c r="S413">
        <v>1</v>
      </c>
      <c r="T413" t="s">
        <v>34</v>
      </c>
      <c r="U413">
        <v>97</v>
      </c>
      <c r="W413">
        <v>4</v>
      </c>
    </row>
    <row r="414" spans="1:25">
      <c r="A414" s="1" t="s">
        <v>483</v>
      </c>
      <c r="B414" t="s">
        <v>90</v>
      </c>
      <c r="C414" t="s">
        <v>27</v>
      </c>
      <c r="D414" t="s">
        <v>73</v>
      </c>
      <c r="E414" t="s">
        <v>63</v>
      </c>
      <c r="F414" t="s">
        <v>76</v>
      </c>
      <c r="G414" t="s">
        <v>39</v>
      </c>
      <c r="H414" t="s">
        <v>40</v>
      </c>
      <c r="I414" t="s">
        <v>33</v>
      </c>
      <c r="J414" s="2">
        <v>45022</v>
      </c>
      <c r="K414" s="2">
        <v>45027</v>
      </c>
      <c r="L414" s="2">
        <v>45033</v>
      </c>
      <c r="M414" s="2">
        <v>45035</v>
      </c>
      <c r="N414" s="2">
        <v>45046</v>
      </c>
      <c r="O414">
        <v>1</v>
      </c>
      <c r="P414">
        <v>1</v>
      </c>
      <c r="Q414">
        <v>1</v>
      </c>
      <c r="R414">
        <v>0</v>
      </c>
      <c r="S414">
        <v>1</v>
      </c>
      <c r="T414" t="s">
        <v>49</v>
      </c>
      <c r="U414">
        <v>95</v>
      </c>
      <c r="W414">
        <v>1</v>
      </c>
      <c r="X414">
        <v>465761</v>
      </c>
      <c r="Y414" t="s">
        <v>80</v>
      </c>
    </row>
    <row r="415" spans="1:25">
      <c r="A415" s="1" t="s">
        <v>484</v>
      </c>
      <c r="B415" t="s">
        <v>36</v>
      </c>
      <c r="C415" t="s">
        <v>37</v>
      </c>
      <c r="D415" t="s">
        <v>73</v>
      </c>
      <c r="E415" t="s">
        <v>66</v>
      </c>
      <c r="F415" t="s">
        <v>30</v>
      </c>
      <c r="G415" t="s">
        <v>55</v>
      </c>
      <c r="H415" t="s">
        <v>56</v>
      </c>
      <c r="I415" t="s">
        <v>33</v>
      </c>
      <c r="J415" s="2">
        <v>45385</v>
      </c>
      <c r="K415" s="2">
        <v>45389</v>
      </c>
      <c r="L415" s="2">
        <v>45392</v>
      </c>
      <c r="M415" s="2">
        <v>45396</v>
      </c>
      <c r="N415" s="2">
        <v>45404</v>
      </c>
      <c r="O415">
        <v>0</v>
      </c>
      <c r="P415">
        <v>0</v>
      </c>
      <c r="Q415">
        <v>0</v>
      </c>
      <c r="R415">
        <v>0</v>
      </c>
      <c r="S415">
        <v>1</v>
      </c>
      <c r="T415" t="s">
        <v>74</v>
      </c>
      <c r="U415">
        <v>77</v>
      </c>
      <c r="W415">
        <v>3</v>
      </c>
    </row>
    <row r="416" spans="1:25">
      <c r="A416" s="1" t="s">
        <v>485</v>
      </c>
      <c r="B416" t="s">
        <v>58</v>
      </c>
      <c r="C416" t="s">
        <v>27</v>
      </c>
      <c r="D416" t="s">
        <v>44</v>
      </c>
      <c r="E416" t="s">
        <v>63</v>
      </c>
      <c r="F416" t="s">
        <v>30</v>
      </c>
      <c r="G416" t="s">
        <v>39</v>
      </c>
      <c r="H416" t="s">
        <v>56</v>
      </c>
      <c r="I416" t="s">
        <v>41</v>
      </c>
      <c r="J416" s="2">
        <v>45106</v>
      </c>
      <c r="K416" s="2">
        <v>45109</v>
      </c>
      <c r="L416" s="2">
        <v>45119</v>
      </c>
      <c r="M416" s="2">
        <v>45122</v>
      </c>
      <c r="N416" s="2">
        <v>45118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74</v>
      </c>
      <c r="U416">
        <v>70</v>
      </c>
      <c r="W416">
        <v>1</v>
      </c>
    </row>
    <row r="417" spans="1:25">
      <c r="A417" s="1" t="s">
        <v>486</v>
      </c>
      <c r="B417" t="s">
        <v>58</v>
      </c>
      <c r="C417" t="s">
        <v>47</v>
      </c>
      <c r="D417" t="s">
        <v>44</v>
      </c>
      <c r="E417" t="s">
        <v>29</v>
      </c>
      <c r="F417" t="s">
        <v>38</v>
      </c>
      <c r="G417" t="s">
        <v>55</v>
      </c>
      <c r="H417" t="s">
        <v>56</v>
      </c>
      <c r="I417" t="s">
        <v>41</v>
      </c>
      <c r="J417" s="2">
        <v>45448</v>
      </c>
      <c r="K417" s="2">
        <v>45449</v>
      </c>
      <c r="L417" s="2">
        <v>45454</v>
      </c>
      <c r="M417" s="2">
        <v>45458</v>
      </c>
      <c r="N417" s="2">
        <v>45460</v>
      </c>
      <c r="O417">
        <v>1</v>
      </c>
      <c r="P417">
        <v>0</v>
      </c>
      <c r="Q417">
        <v>0</v>
      </c>
      <c r="R417">
        <v>0</v>
      </c>
      <c r="S417">
        <v>0</v>
      </c>
      <c r="T417" t="s">
        <v>34</v>
      </c>
      <c r="U417">
        <v>78</v>
      </c>
      <c r="W417">
        <v>13</v>
      </c>
    </row>
    <row r="418" spans="1:25">
      <c r="A418" s="1" t="s">
        <v>487</v>
      </c>
      <c r="B418" t="s">
        <v>58</v>
      </c>
      <c r="C418" t="s">
        <v>47</v>
      </c>
      <c r="D418" t="s">
        <v>28</v>
      </c>
      <c r="E418" t="s">
        <v>102</v>
      </c>
      <c r="F418" t="s">
        <v>48</v>
      </c>
      <c r="G418" t="s">
        <v>45</v>
      </c>
      <c r="H418" t="s">
        <v>40</v>
      </c>
      <c r="I418" t="s">
        <v>33</v>
      </c>
      <c r="J418" s="2">
        <v>44984</v>
      </c>
      <c r="K418" s="2">
        <v>44989</v>
      </c>
      <c r="L418" s="2">
        <v>44995</v>
      </c>
      <c r="M418" s="2">
        <v>45000</v>
      </c>
      <c r="N418" s="2">
        <v>44997</v>
      </c>
      <c r="O418">
        <v>1</v>
      </c>
      <c r="P418">
        <v>1</v>
      </c>
      <c r="Q418">
        <v>1</v>
      </c>
      <c r="R418">
        <v>0</v>
      </c>
      <c r="S418">
        <v>0</v>
      </c>
      <c r="T418" t="s">
        <v>49</v>
      </c>
      <c r="U418">
        <v>46</v>
      </c>
      <c r="W418">
        <v>10</v>
      </c>
      <c r="X418">
        <v>3177999</v>
      </c>
      <c r="Y418" t="s">
        <v>68</v>
      </c>
    </row>
    <row r="419" spans="1:25">
      <c r="A419" s="1" t="s">
        <v>488</v>
      </c>
      <c r="B419" t="s">
        <v>43</v>
      </c>
      <c r="C419" t="s">
        <v>37</v>
      </c>
      <c r="D419" t="s">
        <v>59</v>
      </c>
      <c r="E419" t="s">
        <v>29</v>
      </c>
      <c r="F419" t="s">
        <v>67</v>
      </c>
      <c r="G419" t="s">
        <v>60</v>
      </c>
      <c r="H419" t="s">
        <v>32</v>
      </c>
      <c r="I419" t="s">
        <v>33</v>
      </c>
      <c r="J419" s="2">
        <v>44959</v>
      </c>
      <c r="K419" s="2">
        <v>44961</v>
      </c>
      <c r="L419" s="2">
        <v>44965</v>
      </c>
      <c r="M419" s="2">
        <v>44970</v>
      </c>
      <c r="N419" s="2">
        <v>44981</v>
      </c>
      <c r="O419">
        <v>1</v>
      </c>
      <c r="P419">
        <v>0</v>
      </c>
      <c r="Q419">
        <v>0</v>
      </c>
      <c r="R419">
        <v>0</v>
      </c>
      <c r="S419">
        <v>0</v>
      </c>
      <c r="T419" t="s">
        <v>34</v>
      </c>
      <c r="U419">
        <v>49</v>
      </c>
      <c r="W419">
        <v>3</v>
      </c>
    </row>
    <row r="420" spans="1:25">
      <c r="A420" s="1" t="s">
        <v>489</v>
      </c>
      <c r="B420" t="s">
        <v>70</v>
      </c>
      <c r="C420" t="s">
        <v>71</v>
      </c>
      <c r="D420" t="s">
        <v>73</v>
      </c>
      <c r="E420" t="s">
        <v>66</v>
      </c>
      <c r="F420" t="s">
        <v>76</v>
      </c>
      <c r="G420" t="s">
        <v>39</v>
      </c>
      <c r="H420" t="s">
        <v>56</v>
      </c>
      <c r="I420" t="s">
        <v>33</v>
      </c>
      <c r="J420" s="2">
        <v>45279</v>
      </c>
      <c r="K420" s="2">
        <v>45283</v>
      </c>
      <c r="L420" s="2">
        <v>45291</v>
      </c>
      <c r="M420" s="2">
        <v>45296</v>
      </c>
      <c r="N420" s="2">
        <v>45309</v>
      </c>
      <c r="O420">
        <v>1</v>
      </c>
      <c r="P420">
        <v>0</v>
      </c>
      <c r="Q420">
        <v>0</v>
      </c>
      <c r="R420">
        <v>0</v>
      </c>
      <c r="S420">
        <v>0</v>
      </c>
      <c r="T420" t="s">
        <v>34</v>
      </c>
      <c r="U420">
        <v>75</v>
      </c>
      <c r="W420">
        <v>5</v>
      </c>
    </row>
    <row r="421" spans="1:25">
      <c r="A421" s="1" t="s">
        <v>490</v>
      </c>
      <c r="B421" t="s">
        <v>43</v>
      </c>
      <c r="C421" t="s">
        <v>37</v>
      </c>
      <c r="D421" t="s">
        <v>59</v>
      </c>
      <c r="E421" t="s">
        <v>102</v>
      </c>
      <c r="F421" t="s">
        <v>38</v>
      </c>
      <c r="G421" t="s">
        <v>39</v>
      </c>
      <c r="H421" t="s">
        <v>40</v>
      </c>
      <c r="I421" t="s">
        <v>41</v>
      </c>
      <c r="J421" s="2">
        <v>45155</v>
      </c>
      <c r="K421" s="2">
        <v>45157</v>
      </c>
      <c r="L421" s="2">
        <v>45165</v>
      </c>
      <c r="M421" s="2">
        <v>45169</v>
      </c>
      <c r="N421" s="2">
        <v>45181</v>
      </c>
      <c r="O421">
        <v>1</v>
      </c>
      <c r="P421">
        <v>1</v>
      </c>
      <c r="Q421">
        <v>1</v>
      </c>
      <c r="R421">
        <v>1</v>
      </c>
      <c r="S421">
        <v>0</v>
      </c>
      <c r="T421" t="s">
        <v>61</v>
      </c>
      <c r="U421">
        <v>97</v>
      </c>
      <c r="V421">
        <v>26</v>
      </c>
      <c r="W421">
        <v>2</v>
      </c>
      <c r="X421">
        <v>574773</v>
      </c>
    </row>
    <row r="422" spans="1:25">
      <c r="A422" s="1" t="s">
        <v>491</v>
      </c>
      <c r="B422" t="s">
        <v>43</v>
      </c>
      <c r="C422" t="s">
        <v>37</v>
      </c>
      <c r="D422" t="s">
        <v>73</v>
      </c>
      <c r="E422" t="s">
        <v>63</v>
      </c>
      <c r="F422" t="s">
        <v>64</v>
      </c>
      <c r="G422" t="s">
        <v>39</v>
      </c>
      <c r="H422" t="s">
        <v>32</v>
      </c>
      <c r="I422" t="s">
        <v>33</v>
      </c>
      <c r="J422" s="2">
        <v>45296</v>
      </c>
      <c r="K422" s="2">
        <v>45297</v>
      </c>
      <c r="L422" s="2">
        <v>45306</v>
      </c>
      <c r="M422" s="2">
        <v>45312</v>
      </c>
      <c r="N422" s="2">
        <v>45314</v>
      </c>
      <c r="O422">
        <v>1</v>
      </c>
      <c r="P422">
        <v>1</v>
      </c>
      <c r="Q422">
        <v>0</v>
      </c>
      <c r="R422">
        <v>0</v>
      </c>
      <c r="S422">
        <v>0</v>
      </c>
      <c r="T422" t="s">
        <v>34</v>
      </c>
      <c r="U422">
        <v>47</v>
      </c>
      <c r="W422">
        <v>1</v>
      </c>
    </row>
    <row r="423" spans="1:25">
      <c r="A423" s="1" t="s">
        <v>492</v>
      </c>
      <c r="B423" t="s">
        <v>58</v>
      </c>
      <c r="C423" t="s">
        <v>37</v>
      </c>
      <c r="D423" t="s">
        <v>73</v>
      </c>
      <c r="E423" t="s">
        <v>63</v>
      </c>
      <c r="F423" t="s">
        <v>38</v>
      </c>
      <c r="G423" t="s">
        <v>39</v>
      </c>
      <c r="H423" t="s">
        <v>56</v>
      </c>
      <c r="I423" t="s">
        <v>41</v>
      </c>
      <c r="J423" s="2">
        <v>45228</v>
      </c>
      <c r="K423" s="2">
        <v>45230</v>
      </c>
      <c r="L423" s="2">
        <v>45238</v>
      </c>
      <c r="M423" s="2">
        <v>45242</v>
      </c>
      <c r="N423" s="2">
        <v>45248</v>
      </c>
      <c r="O423">
        <v>1</v>
      </c>
      <c r="P423">
        <v>0</v>
      </c>
      <c r="Q423">
        <v>0</v>
      </c>
      <c r="R423">
        <v>0</v>
      </c>
      <c r="S423">
        <v>1</v>
      </c>
      <c r="T423" t="s">
        <v>34</v>
      </c>
      <c r="U423">
        <v>58</v>
      </c>
      <c r="W423">
        <v>3</v>
      </c>
    </row>
    <row r="424" spans="1:25">
      <c r="A424" s="1" t="s">
        <v>493</v>
      </c>
      <c r="B424" t="s">
        <v>70</v>
      </c>
      <c r="C424" t="s">
        <v>27</v>
      </c>
      <c r="D424" t="s">
        <v>28</v>
      </c>
      <c r="E424" t="s">
        <v>63</v>
      </c>
      <c r="F424" t="s">
        <v>76</v>
      </c>
      <c r="G424" t="s">
        <v>39</v>
      </c>
      <c r="H424" t="s">
        <v>56</v>
      </c>
      <c r="I424" t="s">
        <v>33</v>
      </c>
      <c r="J424" s="2">
        <v>44955</v>
      </c>
      <c r="K424" s="2">
        <v>44957</v>
      </c>
      <c r="L424" s="2">
        <v>44963</v>
      </c>
      <c r="M424" s="2">
        <v>44965</v>
      </c>
      <c r="N424" s="2">
        <v>44988</v>
      </c>
      <c r="O424">
        <v>1</v>
      </c>
      <c r="P424">
        <v>1</v>
      </c>
      <c r="Q424">
        <v>1</v>
      </c>
      <c r="R424">
        <v>0</v>
      </c>
      <c r="S424">
        <v>0</v>
      </c>
      <c r="T424" t="s">
        <v>49</v>
      </c>
      <c r="U424">
        <v>73</v>
      </c>
      <c r="W424">
        <v>0</v>
      </c>
      <c r="X424">
        <v>518549</v>
      </c>
      <c r="Y424" t="s">
        <v>80</v>
      </c>
    </row>
    <row r="425" spans="1:25">
      <c r="A425" s="1" t="s">
        <v>494</v>
      </c>
      <c r="B425" t="s">
        <v>70</v>
      </c>
      <c r="C425" t="s">
        <v>78</v>
      </c>
      <c r="D425" t="s">
        <v>52</v>
      </c>
      <c r="E425" t="s">
        <v>63</v>
      </c>
      <c r="F425" t="s">
        <v>30</v>
      </c>
      <c r="G425" t="s">
        <v>45</v>
      </c>
      <c r="H425" t="s">
        <v>32</v>
      </c>
      <c r="I425" t="s">
        <v>41</v>
      </c>
      <c r="J425" s="2">
        <v>45287</v>
      </c>
      <c r="K425" s="2">
        <v>45290</v>
      </c>
      <c r="L425" s="2">
        <v>45297</v>
      </c>
      <c r="M425" s="2">
        <v>45300</v>
      </c>
      <c r="N425" s="2">
        <v>45313</v>
      </c>
      <c r="O425">
        <v>1</v>
      </c>
      <c r="P425">
        <v>1</v>
      </c>
      <c r="Q425">
        <v>1</v>
      </c>
      <c r="R425">
        <v>1</v>
      </c>
      <c r="S425">
        <v>0</v>
      </c>
      <c r="T425" t="s">
        <v>61</v>
      </c>
      <c r="U425">
        <v>84</v>
      </c>
      <c r="V425">
        <v>26</v>
      </c>
      <c r="W425">
        <v>7</v>
      </c>
      <c r="X425">
        <v>1419324</v>
      </c>
    </row>
    <row r="426" spans="1:25">
      <c r="A426" s="1" t="s">
        <v>495</v>
      </c>
      <c r="B426" t="s">
        <v>70</v>
      </c>
      <c r="C426" t="s">
        <v>47</v>
      </c>
      <c r="D426" t="s">
        <v>44</v>
      </c>
      <c r="E426" t="s">
        <v>102</v>
      </c>
      <c r="F426" t="s">
        <v>67</v>
      </c>
      <c r="G426" t="s">
        <v>39</v>
      </c>
      <c r="H426" t="s">
        <v>40</v>
      </c>
      <c r="I426" t="s">
        <v>41</v>
      </c>
      <c r="J426" s="2">
        <v>45072</v>
      </c>
      <c r="K426" s="2">
        <v>45073</v>
      </c>
      <c r="L426" s="2">
        <v>45078</v>
      </c>
      <c r="M426" s="2">
        <v>45083</v>
      </c>
      <c r="N426" s="2">
        <v>45112</v>
      </c>
      <c r="O426">
        <v>1</v>
      </c>
      <c r="P426">
        <v>1</v>
      </c>
      <c r="Q426">
        <v>1</v>
      </c>
      <c r="R426">
        <v>1</v>
      </c>
      <c r="S426">
        <v>0</v>
      </c>
      <c r="T426" t="s">
        <v>61</v>
      </c>
      <c r="U426">
        <v>78</v>
      </c>
      <c r="V426">
        <v>40</v>
      </c>
      <c r="W426">
        <v>8</v>
      </c>
      <c r="X426">
        <v>1884060</v>
      </c>
    </row>
    <row r="427" spans="1:25">
      <c r="A427" s="1" t="s">
        <v>496</v>
      </c>
      <c r="B427" t="s">
        <v>90</v>
      </c>
      <c r="C427" t="s">
        <v>37</v>
      </c>
      <c r="D427" t="s">
        <v>44</v>
      </c>
      <c r="E427" t="s">
        <v>29</v>
      </c>
      <c r="F427" t="s">
        <v>64</v>
      </c>
      <c r="G427" t="s">
        <v>31</v>
      </c>
      <c r="H427" t="s">
        <v>56</v>
      </c>
      <c r="I427" t="s">
        <v>33</v>
      </c>
      <c r="J427" s="2">
        <v>45103</v>
      </c>
      <c r="K427" s="2">
        <v>45106</v>
      </c>
      <c r="L427" s="2">
        <v>45113</v>
      </c>
      <c r="M427" s="2">
        <v>45116</v>
      </c>
      <c r="N427" s="2">
        <v>45134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74</v>
      </c>
      <c r="U427">
        <v>72</v>
      </c>
      <c r="W427">
        <v>2</v>
      </c>
    </row>
    <row r="428" spans="1:25">
      <c r="A428" s="1" t="s">
        <v>497</v>
      </c>
      <c r="B428" t="s">
        <v>58</v>
      </c>
      <c r="C428" t="s">
        <v>27</v>
      </c>
      <c r="D428" t="s">
        <v>44</v>
      </c>
      <c r="E428" t="s">
        <v>54</v>
      </c>
      <c r="F428" t="s">
        <v>64</v>
      </c>
      <c r="G428" t="s">
        <v>45</v>
      </c>
      <c r="H428" t="s">
        <v>56</v>
      </c>
      <c r="I428" t="s">
        <v>33</v>
      </c>
      <c r="J428" s="2">
        <v>45156</v>
      </c>
      <c r="K428" s="2">
        <v>45157</v>
      </c>
      <c r="L428" s="2">
        <v>45160</v>
      </c>
      <c r="M428" s="2">
        <v>45164</v>
      </c>
      <c r="N428" s="2">
        <v>45170</v>
      </c>
      <c r="O428">
        <v>1</v>
      </c>
      <c r="P428">
        <v>1</v>
      </c>
      <c r="Q428">
        <v>0</v>
      </c>
      <c r="R428">
        <v>0</v>
      </c>
      <c r="S428">
        <v>1</v>
      </c>
      <c r="T428" t="s">
        <v>34</v>
      </c>
      <c r="U428">
        <v>52</v>
      </c>
      <c r="W428">
        <v>0</v>
      </c>
    </row>
    <row r="429" spans="1:25">
      <c r="A429" s="1" t="s">
        <v>498</v>
      </c>
      <c r="B429" t="s">
        <v>26</v>
      </c>
      <c r="C429" t="s">
        <v>27</v>
      </c>
      <c r="D429" t="s">
        <v>44</v>
      </c>
      <c r="E429" t="s">
        <v>63</v>
      </c>
      <c r="F429" t="s">
        <v>48</v>
      </c>
      <c r="G429" t="s">
        <v>60</v>
      </c>
      <c r="H429" t="s">
        <v>32</v>
      </c>
      <c r="I429" t="s">
        <v>33</v>
      </c>
      <c r="J429" s="2">
        <v>45444</v>
      </c>
      <c r="K429" s="2">
        <v>45448</v>
      </c>
      <c r="L429" s="2">
        <v>45453</v>
      </c>
      <c r="M429" s="2">
        <v>45456</v>
      </c>
      <c r="N429" s="2">
        <v>45460</v>
      </c>
      <c r="O429">
        <v>1</v>
      </c>
      <c r="P429">
        <v>1</v>
      </c>
      <c r="Q429">
        <v>1</v>
      </c>
      <c r="R429">
        <v>1</v>
      </c>
      <c r="S429">
        <v>0</v>
      </c>
      <c r="T429" t="s">
        <v>61</v>
      </c>
      <c r="U429">
        <v>61</v>
      </c>
      <c r="V429">
        <v>16</v>
      </c>
      <c r="W429">
        <v>2</v>
      </c>
      <c r="X429">
        <v>549790</v>
      </c>
    </row>
    <row r="430" spans="1:25">
      <c r="A430" s="1" t="s">
        <v>499</v>
      </c>
      <c r="B430" t="s">
        <v>70</v>
      </c>
      <c r="C430" t="s">
        <v>71</v>
      </c>
      <c r="D430" t="s">
        <v>73</v>
      </c>
      <c r="E430" t="s">
        <v>54</v>
      </c>
      <c r="F430" t="s">
        <v>38</v>
      </c>
      <c r="G430" t="s">
        <v>39</v>
      </c>
      <c r="H430" t="s">
        <v>32</v>
      </c>
      <c r="I430" t="s">
        <v>33</v>
      </c>
      <c r="J430" s="2">
        <v>45137</v>
      </c>
      <c r="K430" s="2">
        <v>45140</v>
      </c>
      <c r="L430" s="2">
        <v>45147</v>
      </c>
      <c r="M430" s="2">
        <v>45153</v>
      </c>
      <c r="N430" s="2">
        <v>45157</v>
      </c>
      <c r="O430">
        <v>1</v>
      </c>
      <c r="P430">
        <v>1</v>
      </c>
      <c r="Q430">
        <v>1</v>
      </c>
      <c r="R430">
        <v>0</v>
      </c>
      <c r="S430">
        <v>0</v>
      </c>
      <c r="T430" t="s">
        <v>49</v>
      </c>
      <c r="U430">
        <v>94</v>
      </c>
      <c r="W430">
        <v>5</v>
      </c>
      <c r="X430">
        <v>1118545</v>
      </c>
      <c r="Y430" t="s">
        <v>68</v>
      </c>
    </row>
    <row r="431" spans="1:25">
      <c r="A431" s="1" t="s">
        <v>500</v>
      </c>
      <c r="B431" t="s">
        <v>36</v>
      </c>
      <c r="C431" t="s">
        <v>71</v>
      </c>
      <c r="D431" t="s">
        <v>44</v>
      </c>
      <c r="E431" t="s">
        <v>54</v>
      </c>
      <c r="F431" t="s">
        <v>48</v>
      </c>
      <c r="G431" t="s">
        <v>55</v>
      </c>
      <c r="H431" t="s">
        <v>40</v>
      </c>
      <c r="I431" t="s">
        <v>41</v>
      </c>
      <c r="J431" s="2">
        <v>45237</v>
      </c>
      <c r="K431" s="2">
        <v>45239</v>
      </c>
      <c r="L431" s="2">
        <v>45244</v>
      </c>
      <c r="M431" s="2">
        <v>45247</v>
      </c>
      <c r="N431" s="2">
        <v>45256</v>
      </c>
      <c r="O431">
        <v>1</v>
      </c>
      <c r="P431">
        <v>1</v>
      </c>
      <c r="Q431">
        <v>1</v>
      </c>
      <c r="R431">
        <v>1</v>
      </c>
      <c r="S431">
        <v>0</v>
      </c>
      <c r="T431" t="s">
        <v>61</v>
      </c>
      <c r="U431">
        <v>91</v>
      </c>
      <c r="V431">
        <v>19</v>
      </c>
      <c r="W431">
        <v>4</v>
      </c>
      <c r="X431">
        <v>860771</v>
      </c>
    </row>
    <row r="432" spans="1:25">
      <c r="A432" s="1" t="s">
        <v>501</v>
      </c>
      <c r="B432" t="s">
        <v>43</v>
      </c>
      <c r="C432" t="s">
        <v>78</v>
      </c>
      <c r="D432" t="s">
        <v>44</v>
      </c>
      <c r="E432" t="s">
        <v>63</v>
      </c>
      <c r="F432" t="s">
        <v>30</v>
      </c>
      <c r="G432" t="s">
        <v>39</v>
      </c>
      <c r="H432" t="s">
        <v>40</v>
      </c>
      <c r="I432" t="s">
        <v>33</v>
      </c>
      <c r="J432" s="2">
        <v>45346</v>
      </c>
      <c r="K432" s="2">
        <v>45348</v>
      </c>
      <c r="L432" s="2">
        <v>45355</v>
      </c>
      <c r="M432" s="2">
        <v>45359</v>
      </c>
      <c r="N432" s="2">
        <v>45367</v>
      </c>
      <c r="O432">
        <v>1</v>
      </c>
      <c r="P432">
        <v>1</v>
      </c>
      <c r="Q432">
        <v>1</v>
      </c>
      <c r="R432">
        <v>1</v>
      </c>
      <c r="S432">
        <v>0</v>
      </c>
      <c r="T432" t="s">
        <v>61</v>
      </c>
      <c r="U432">
        <v>88</v>
      </c>
      <c r="V432">
        <v>21</v>
      </c>
      <c r="W432">
        <v>6</v>
      </c>
      <c r="X432">
        <v>1945036</v>
      </c>
    </row>
    <row r="433" spans="1:24">
      <c r="A433" s="1" t="s">
        <v>502</v>
      </c>
      <c r="B433" t="s">
        <v>43</v>
      </c>
      <c r="C433" t="s">
        <v>78</v>
      </c>
      <c r="D433" t="s">
        <v>44</v>
      </c>
      <c r="E433" t="s">
        <v>66</v>
      </c>
      <c r="F433" t="s">
        <v>64</v>
      </c>
      <c r="G433" t="s">
        <v>45</v>
      </c>
      <c r="H433" t="s">
        <v>40</v>
      </c>
      <c r="I433" t="s">
        <v>33</v>
      </c>
      <c r="J433" s="2">
        <v>44985</v>
      </c>
      <c r="K433" s="2">
        <v>44989</v>
      </c>
      <c r="L433" s="2">
        <v>44997</v>
      </c>
      <c r="M433" s="2">
        <v>45001</v>
      </c>
      <c r="N433" s="2">
        <v>45013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74</v>
      </c>
      <c r="U433">
        <v>85</v>
      </c>
      <c r="W433">
        <v>10</v>
      </c>
    </row>
    <row r="434" spans="1:24">
      <c r="A434" s="1" t="s">
        <v>503</v>
      </c>
      <c r="B434" t="s">
        <v>43</v>
      </c>
      <c r="C434" t="s">
        <v>27</v>
      </c>
      <c r="D434" t="s">
        <v>59</v>
      </c>
      <c r="E434" t="s">
        <v>102</v>
      </c>
      <c r="F434" t="s">
        <v>38</v>
      </c>
      <c r="G434" t="s">
        <v>39</v>
      </c>
      <c r="H434" t="s">
        <v>40</v>
      </c>
      <c r="I434" t="s">
        <v>33</v>
      </c>
      <c r="J434" s="2">
        <v>45223</v>
      </c>
      <c r="K434" s="2">
        <v>45226</v>
      </c>
      <c r="L434" s="2">
        <v>45229</v>
      </c>
      <c r="M434" s="2">
        <v>45232</v>
      </c>
      <c r="N434" s="2">
        <v>45244</v>
      </c>
      <c r="O434">
        <v>1</v>
      </c>
      <c r="P434">
        <v>0</v>
      </c>
      <c r="Q434">
        <v>0</v>
      </c>
      <c r="R434">
        <v>0</v>
      </c>
      <c r="S434">
        <v>0</v>
      </c>
      <c r="T434" t="s">
        <v>34</v>
      </c>
      <c r="U434">
        <v>59</v>
      </c>
      <c r="W434">
        <v>0</v>
      </c>
    </row>
    <row r="435" spans="1:24">
      <c r="A435" s="1" t="s">
        <v>504</v>
      </c>
      <c r="B435" t="s">
        <v>90</v>
      </c>
      <c r="C435" t="s">
        <v>27</v>
      </c>
      <c r="D435" t="s">
        <v>52</v>
      </c>
      <c r="E435" t="s">
        <v>66</v>
      </c>
      <c r="F435" t="s">
        <v>67</v>
      </c>
      <c r="G435" t="s">
        <v>60</v>
      </c>
      <c r="H435" t="s">
        <v>40</v>
      </c>
      <c r="I435" t="s">
        <v>41</v>
      </c>
      <c r="J435" s="2">
        <v>45428</v>
      </c>
      <c r="K435" s="2">
        <v>45431</v>
      </c>
      <c r="L435" s="2">
        <v>45441</v>
      </c>
      <c r="M435" s="2">
        <v>45448</v>
      </c>
      <c r="N435" s="2">
        <v>45458</v>
      </c>
      <c r="O435">
        <v>1</v>
      </c>
      <c r="P435">
        <v>1</v>
      </c>
      <c r="Q435">
        <v>1</v>
      </c>
      <c r="R435">
        <v>1</v>
      </c>
      <c r="S435">
        <v>0</v>
      </c>
      <c r="T435" t="s">
        <v>61</v>
      </c>
      <c r="U435">
        <v>68</v>
      </c>
      <c r="V435">
        <v>30</v>
      </c>
      <c r="W435">
        <v>1</v>
      </c>
      <c r="X435">
        <v>552806</v>
      </c>
    </row>
    <row r="436" spans="1:24">
      <c r="A436" s="1" t="s">
        <v>505</v>
      </c>
      <c r="B436" t="s">
        <v>43</v>
      </c>
      <c r="C436" t="s">
        <v>47</v>
      </c>
      <c r="D436" t="s">
        <v>28</v>
      </c>
      <c r="E436" t="s">
        <v>102</v>
      </c>
      <c r="F436" t="s">
        <v>48</v>
      </c>
      <c r="G436" t="s">
        <v>55</v>
      </c>
      <c r="H436" t="s">
        <v>32</v>
      </c>
      <c r="I436" t="s">
        <v>33</v>
      </c>
      <c r="J436" s="2">
        <v>44973</v>
      </c>
      <c r="K436" s="2">
        <v>44974</v>
      </c>
      <c r="L436" s="2">
        <v>44984</v>
      </c>
      <c r="M436" s="2">
        <v>44987</v>
      </c>
      <c r="N436" s="2">
        <v>44989</v>
      </c>
      <c r="O436">
        <v>1</v>
      </c>
      <c r="P436">
        <v>1</v>
      </c>
      <c r="Q436">
        <v>0</v>
      </c>
      <c r="R436">
        <v>0</v>
      </c>
      <c r="S436">
        <v>0</v>
      </c>
      <c r="T436" t="s">
        <v>34</v>
      </c>
      <c r="U436">
        <v>53</v>
      </c>
      <c r="W436">
        <v>13</v>
      </c>
    </row>
    <row r="437" spans="1:24">
      <c r="A437" s="1" t="s">
        <v>506</v>
      </c>
      <c r="B437" t="s">
        <v>70</v>
      </c>
      <c r="C437" t="s">
        <v>71</v>
      </c>
      <c r="D437" t="s">
        <v>28</v>
      </c>
      <c r="E437" t="s">
        <v>102</v>
      </c>
      <c r="F437" t="s">
        <v>76</v>
      </c>
      <c r="G437" t="s">
        <v>55</v>
      </c>
      <c r="H437" t="s">
        <v>56</v>
      </c>
      <c r="I437" t="s">
        <v>33</v>
      </c>
      <c r="J437" s="2">
        <v>45407</v>
      </c>
      <c r="K437" s="2">
        <v>45409</v>
      </c>
      <c r="L437" s="2">
        <v>45418</v>
      </c>
      <c r="M437" s="2">
        <v>45424</v>
      </c>
      <c r="N437" s="2">
        <v>45447</v>
      </c>
      <c r="O437">
        <v>1</v>
      </c>
      <c r="P437">
        <v>0</v>
      </c>
      <c r="Q437">
        <v>0</v>
      </c>
      <c r="R437">
        <v>0</v>
      </c>
      <c r="S437">
        <v>0</v>
      </c>
      <c r="T437" t="s">
        <v>34</v>
      </c>
      <c r="U437">
        <v>72</v>
      </c>
      <c r="W437">
        <v>4</v>
      </c>
    </row>
    <row r="438" spans="1:24">
      <c r="A438" s="1" t="s">
        <v>507</v>
      </c>
      <c r="B438" t="s">
        <v>36</v>
      </c>
      <c r="C438" t="s">
        <v>71</v>
      </c>
      <c r="D438" t="s">
        <v>52</v>
      </c>
      <c r="E438" t="s">
        <v>54</v>
      </c>
      <c r="F438" t="s">
        <v>67</v>
      </c>
      <c r="G438" t="s">
        <v>55</v>
      </c>
      <c r="H438" t="s">
        <v>32</v>
      </c>
      <c r="I438" t="s">
        <v>33</v>
      </c>
      <c r="J438" s="2">
        <v>44930</v>
      </c>
      <c r="K438" s="2">
        <v>44935</v>
      </c>
      <c r="L438" s="2">
        <v>44940</v>
      </c>
      <c r="M438" s="2">
        <v>44944</v>
      </c>
      <c r="N438" s="2">
        <v>44946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74</v>
      </c>
      <c r="U438">
        <v>85</v>
      </c>
      <c r="W438">
        <v>3</v>
      </c>
    </row>
    <row r="439" spans="1:24">
      <c r="A439" s="1" t="s">
        <v>508</v>
      </c>
      <c r="B439" t="s">
        <v>58</v>
      </c>
      <c r="C439" t="s">
        <v>27</v>
      </c>
      <c r="D439" t="s">
        <v>59</v>
      </c>
      <c r="E439" t="s">
        <v>102</v>
      </c>
      <c r="F439" t="s">
        <v>30</v>
      </c>
      <c r="G439" t="s">
        <v>60</v>
      </c>
      <c r="H439" t="s">
        <v>32</v>
      </c>
      <c r="I439" t="s">
        <v>41</v>
      </c>
      <c r="J439" s="2">
        <v>45159</v>
      </c>
      <c r="K439" s="2">
        <v>45163</v>
      </c>
      <c r="L439" s="2">
        <v>45168</v>
      </c>
      <c r="M439" s="2">
        <v>45171</v>
      </c>
      <c r="N439" s="2">
        <v>45181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74</v>
      </c>
      <c r="U439">
        <v>90</v>
      </c>
      <c r="W439">
        <v>1</v>
      </c>
    </row>
    <row r="440" spans="1:24">
      <c r="A440" s="1" t="s">
        <v>509</v>
      </c>
      <c r="B440" t="s">
        <v>70</v>
      </c>
      <c r="C440" t="s">
        <v>27</v>
      </c>
      <c r="D440" t="s">
        <v>44</v>
      </c>
      <c r="E440" t="s">
        <v>29</v>
      </c>
      <c r="F440" t="s">
        <v>38</v>
      </c>
      <c r="G440" t="s">
        <v>60</v>
      </c>
      <c r="H440" t="s">
        <v>32</v>
      </c>
      <c r="I440" t="s">
        <v>41</v>
      </c>
      <c r="J440" s="2">
        <v>45439</v>
      </c>
      <c r="K440" s="2">
        <v>45442</v>
      </c>
      <c r="L440" s="2">
        <v>45447</v>
      </c>
      <c r="M440" s="2">
        <v>45449</v>
      </c>
      <c r="N440" s="2">
        <v>45477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74</v>
      </c>
      <c r="U440">
        <v>70</v>
      </c>
      <c r="W440">
        <v>0</v>
      </c>
    </row>
    <row r="441" spans="1:24">
      <c r="A441" s="1" t="s">
        <v>510</v>
      </c>
      <c r="B441" t="s">
        <v>26</v>
      </c>
      <c r="C441" t="s">
        <v>47</v>
      </c>
      <c r="D441" t="s">
        <v>44</v>
      </c>
      <c r="E441" t="s">
        <v>29</v>
      </c>
      <c r="F441" t="s">
        <v>48</v>
      </c>
      <c r="G441" t="s">
        <v>45</v>
      </c>
      <c r="H441" t="s">
        <v>56</v>
      </c>
      <c r="I441" t="s">
        <v>41</v>
      </c>
      <c r="J441" s="2">
        <v>45037</v>
      </c>
      <c r="K441" s="2">
        <v>45038</v>
      </c>
      <c r="L441" s="2">
        <v>45047</v>
      </c>
      <c r="M441" s="2">
        <v>45050</v>
      </c>
      <c r="N441" s="2">
        <v>45061</v>
      </c>
      <c r="O441">
        <v>1</v>
      </c>
      <c r="P441">
        <v>1</v>
      </c>
      <c r="Q441">
        <v>0</v>
      </c>
      <c r="R441">
        <v>0</v>
      </c>
      <c r="S441">
        <v>0</v>
      </c>
      <c r="T441" t="s">
        <v>34</v>
      </c>
      <c r="U441">
        <v>54</v>
      </c>
      <c r="W441">
        <v>12</v>
      </c>
    </row>
    <row r="442" spans="1:24">
      <c r="A442" s="1" t="s">
        <v>511</v>
      </c>
      <c r="B442" t="s">
        <v>70</v>
      </c>
      <c r="C442" t="s">
        <v>27</v>
      </c>
      <c r="D442" t="s">
        <v>59</v>
      </c>
      <c r="E442" t="s">
        <v>66</v>
      </c>
      <c r="F442" t="s">
        <v>64</v>
      </c>
      <c r="G442" t="s">
        <v>60</v>
      </c>
      <c r="H442" t="s">
        <v>40</v>
      </c>
      <c r="I442" t="s">
        <v>33</v>
      </c>
      <c r="J442" s="2">
        <v>45286</v>
      </c>
      <c r="K442" s="2">
        <v>45287</v>
      </c>
      <c r="L442" s="2">
        <v>45290</v>
      </c>
      <c r="M442" s="2">
        <v>45296</v>
      </c>
      <c r="N442" s="2">
        <v>45313</v>
      </c>
      <c r="O442">
        <v>1</v>
      </c>
      <c r="P442">
        <v>1</v>
      </c>
      <c r="Q442">
        <v>1</v>
      </c>
      <c r="R442">
        <v>1</v>
      </c>
      <c r="S442">
        <v>0</v>
      </c>
      <c r="T442" t="s">
        <v>61</v>
      </c>
      <c r="U442">
        <v>77</v>
      </c>
      <c r="V442">
        <v>27</v>
      </c>
      <c r="W442">
        <v>1</v>
      </c>
      <c r="X442">
        <v>672661</v>
      </c>
    </row>
    <row r="443" spans="1:24">
      <c r="A443" s="1" t="s">
        <v>512</v>
      </c>
      <c r="B443" t="s">
        <v>26</v>
      </c>
      <c r="C443" t="s">
        <v>27</v>
      </c>
      <c r="D443" t="s">
        <v>52</v>
      </c>
      <c r="E443" t="s">
        <v>29</v>
      </c>
      <c r="F443" t="s">
        <v>64</v>
      </c>
      <c r="G443" t="s">
        <v>31</v>
      </c>
      <c r="H443" t="s">
        <v>40</v>
      </c>
      <c r="I443" t="s">
        <v>41</v>
      </c>
      <c r="J443" s="2">
        <v>45459</v>
      </c>
      <c r="K443" s="2">
        <v>45461</v>
      </c>
      <c r="L443" s="2">
        <v>45465</v>
      </c>
      <c r="M443" s="2">
        <v>45471</v>
      </c>
      <c r="N443" s="2">
        <v>45477</v>
      </c>
      <c r="O443">
        <v>1</v>
      </c>
      <c r="P443">
        <v>1</v>
      </c>
      <c r="Q443">
        <v>1</v>
      </c>
      <c r="R443">
        <v>1</v>
      </c>
      <c r="S443">
        <v>0</v>
      </c>
      <c r="T443" t="s">
        <v>61</v>
      </c>
      <c r="U443">
        <v>86</v>
      </c>
      <c r="V443">
        <v>18</v>
      </c>
      <c r="W443">
        <v>0</v>
      </c>
      <c r="X443">
        <v>592680</v>
      </c>
    </row>
    <row r="444" spans="1:24">
      <c r="A444" s="1" t="s">
        <v>513</v>
      </c>
      <c r="B444" t="s">
        <v>70</v>
      </c>
      <c r="C444" t="s">
        <v>71</v>
      </c>
      <c r="D444" t="s">
        <v>59</v>
      </c>
      <c r="E444" t="s">
        <v>102</v>
      </c>
      <c r="F444" t="s">
        <v>76</v>
      </c>
      <c r="G444" t="s">
        <v>45</v>
      </c>
      <c r="H444" t="s">
        <v>32</v>
      </c>
      <c r="I444" t="s">
        <v>33</v>
      </c>
      <c r="J444" s="2">
        <v>44937</v>
      </c>
      <c r="K444" s="2">
        <v>44940</v>
      </c>
      <c r="L444" s="2">
        <v>44945</v>
      </c>
      <c r="M444" s="2">
        <v>44949</v>
      </c>
      <c r="N444" s="2">
        <v>44968</v>
      </c>
      <c r="O444">
        <v>1</v>
      </c>
      <c r="P444">
        <v>1</v>
      </c>
      <c r="Q444">
        <v>0</v>
      </c>
      <c r="R444">
        <v>0</v>
      </c>
      <c r="S444">
        <v>0</v>
      </c>
      <c r="T444" t="s">
        <v>34</v>
      </c>
      <c r="U444">
        <v>71</v>
      </c>
      <c r="W444">
        <v>5</v>
      </c>
    </row>
    <row r="445" spans="1:24">
      <c r="A445" s="1" t="s">
        <v>514</v>
      </c>
      <c r="B445" t="s">
        <v>70</v>
      </c>
      <c r="C445" t="s">
        <v>37</v>
      </c>
      <c r="D445" t="s">
        <v>52</v>
      </c>
      <c r="E445" t="s">
        <v>54</v>
      </c>
      <c r="F445" t="s">
        <v>64</v>
      </c>
      <c r="G445" t="s">
        <v>31</v>
      </c>
      <c r="H445" t="s">
        <v>32</v>
      </c>
      <c r="I445" t="s">
        <v>33</v>
      </c>
      <c r="J445" s="2">
        <v>44961</v>
      </c>
      <c r="K445" s="2">
        <v>44966</v>
      </c>
      <c r="L445" s="2">
        <v>44969</v>
      </c>
      <c r="M445" s="2">
        <v>44976</v>
      </c>
      <c r="N445" s="2">
        <v>44997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74</v>
      </c>
      <c r="U445">
        <v>78</v>
      </c>
      <c r="W445">
        <v>3</v>
      </c>
    </row>
    <row r="446" spans="1:24">
      <c r="A446" s="1" t="s">
        <v>515</v>
      </c>
      <c r="B446" t="s">
        <v>90</v>
      </c>
      <c r="C446" t="s">
        <v>47</v>
      </c>
      <c r="D446" t="s">
        <v>52</v>
      </c>
      <c r="E446" t="s">
        <v>66</v>
      </c>
      <c r="F446" t="s">
        <v>64</v>
      </c>
      <c r="G446" t="s">
        <v>60</v>
      </c>
      <c r="H446" t="s">
        <v>56</v>
      </c>
      <c r="I446" t="s">
        <v>33</v>
      </c>
      <c r="J446" s="2">
        <v>45209</v>
      </c>
      <c r="K446" s="2">
        <v>45212</v>
      </c>
      <c r="L446" s="2">
        <v>45221</v>
      </c>
      <c r="M446" s="2">
        <v>45225</v>
      </c>
      <c r="N446" s="2">
        <v>45241</v>
      </c>
      <c r="O446">
        <v>1</v>
      </c>
      <c r="P446">
        <v>1</v>
      </c>
      <c r="Q446">
        <v>0</v>
      </c>
      <c r="R446">
        <v>0</v>
      </c>
      <c r="S446">
        <v>0</v>
      </c>
      <c r="T446" t="s">
        <v>34</v>
      </c>
      <c r="U446">
        <v>69</v>
      </c>
      <c r="W446">
        <v>9</v>
      </c>
    </row>
    <row r="447" spans="1:24">
      <c r="A447" s="1" t="s">
        <v>516</v>
      </c>
      <c r="B447" t="s">
        <v>70</v>
      </c>
      <c r="C447" t="s">
        <v>71</v>
      </c>
      <c r="D447" t="s">
        <v>59</v>
      </c>
      <c r="E447" t="s">
        <v>54</v>
      </c>
      <c r="F447" t="s">
        <v>76</v>
      </c>
      <c r="G447" t="s">
        <v>55</v>
      </c>
      <c r="H447" t="s">
        <v>56</v>
      </c>
      <c r="I447" t="s">
        <v>41</v>
      </c>
      <c r="J447" s="2">
        <v>45314</v>
      </c>
      <c r="K447" s="2">
        <v>45316</v>
      </c>
      <c r="L447" s="2">
        <v>45323</v>
      </c>
      <c r="M447" s="2">
        <v>45327</v>
      </c>
      <c r="N447" s="2">
        <v>45347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74</v>
      </c>
      <c r="U447">
        <v>61</v>
      </c>
      <c r="W447">
        <v>4</v>
      </c>
    </row>
    <row r="448" spans="1:24">
      <c r="A448" s="1" t="s">
        <v>517</v>
      </c>
      <c r="B448" t="s">
        <v>43</v>
      </c>
      <c r="C448" t="s">
        <v>71</v>
      </c>
      <c r="D448" t="s">
        <v>52</v>
      </c>
      <c r="E448" t="s">
        <v>102</v>
      </c>
      <c r="F448" t="s">
        <v>30</v>
      </c>
      <c r="G448" t="s">
        <v>39</v>
      </c>
      <c r="H448" t="s">
        <v>32</v>
      </c>
      <c r="I448" t="s">
        <v>33</v>
      </c>
      <c r="J448" s="2">
        <v>45131</v>
      </c>
      <c r="K448" s="2">
        <v>45134</v>
      </c>
      <c r="L448" s="2">
        <v>45141</v>
      </c>
      <c r="M448" s="2">
        <v>45143</v>
      </c>
      <c r="N448" s="2">
        <v>45156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74</v>
      </c>
      <c r="U448">
        <v>67</v>
      </c>
      <c r="W448">
        <v>5</v>
      </c>
    </row>
    <row r="449" spans="1:25">
      <c r="A449" s="1" t="s">
        <v>518</v>
      </c>
      <c r="B449" t="s">
        <v>26</v>
      </c>
      <c r="C449" t="s">
        <v>37</v>
      </c>
      <c r="D449" t="s">
        <v>73</v>
      </c>
      <c r="E449" t="s">
        <v>54</v>
      </c>
      <c r="F449" t="s">
        <v>38</v>
      </c>
      <c r="G449" t="s">
        <v>55</v>
      </c>
      <c r="H449" t="s">
        <v>32</v>
      </c>
      <c r="I449" t="s">
        <v>41</v>
      </c>
      <c r="J449" s="2">
        <v>45201</v>
      </c>
      <c r="K449" s="2">
        <v>45202</v>
      </c>
      <c r="L449" s="2">
        <v>45209</v>
      </c>
      <c r="M449" s="2">
        <v>45212</v>
      </c>
      <c r="N449" s="2">
        <v>45217</v>
      </c>
      <c r="O449">
        <v>1</v>
      </c>
      <c r="P449">
        <v>1</v>
      </c>
      <c r="Q449">
        <v>1</v>
      </c>
      <c r="R449">
        <v>0</v>
      </c>
      <c r="S449">
        <v>0</v>
      </c>
      <c r="T449" t="s">
        <v>49</v>
      </c>
      <c r="U449">
        <v>100</v>
      </c>
      <c r="W449">
        <v>3</v>
      </c>
      <c r="X449">
        <v>861142</v>
      </c>
      <c r="Y449" t="s">
        <v>80</v>
      </c>
    </row>
    <row r="450" spans="1:25">
      <c r="A450" s="1" t="s">
        <v>519</v>
      </c>
      <c r="B450" t="s">
        <v>70</v>
      </c>
      <c r="C450" t="s">
        <v>78</v>
      </c>
      <c r="D450" t="s">
        <v>59</v>
      </c>
      <c r="E450" t="s">
        <v>66</v>
      </c>
      <c r="F450" t="s">
        <v>48</v>
      </c>
      <c r="G450" t="s">
        <v>31</v>
      </c>
      <c r="H450" t="s">
        <v>56</v>
      </c>
      <c r="I450" t="s">
        <v>41</v>
      </c>
      <c r="J450" s="2">
        <v>45393</v>
      </c>
      <c r="K450" s="2">
        <v>45395</v>
      </c>
      <c r="L450" s="2">
        <v>45399</v>
      </c>
      <c r="M450" s="2">
        <v>45405</v>
      </c>
      <c r="N450" s="2">
        <v>45431</v>
      </c>
      <c r="O450">
        <v>1</v>
      </c>
      <c r="P450">
        <v>1</v>
      </c>
      <c r="Q450">
        <v>0</v>
      </c>
      <c r="R450">
        <v>0</v>
      </c>
      <c r="S450">
        <v>0</v>
      </c>
      <c r="T450" t="s">
        <v>34</v>
      </c>
      <c r="U450">
        <v>81</v>
      </c>
      <c r="W450">
        <v>6</v>
      </c>
    </row>
    <row r="451" spans="1:25">
      <c r="A451" s="1" t="s">
        <v>520</v>
      </c>
      <c r="B451" t="s">
        <v>26</v>
      </c>
      <c r="C451" t="s">
        <v>37</v>
      </c>
      <c r="D451" t="s">
        <v>28</v>
      </c>
      <c r="E451" t="s">
        <v>54</v>
      </c>
      <c r="F451" t="s">
        <v>67</v>
      </c>
      <c r="G451" t="s">
        <v>39</v>
      </c>
      <c r="H451" t="s">
        <v>56</v>
      </c>
      <c r="I451" t="s">
        <v>41</v>
      </c>
      <c r="J451" s="2">
        <v>45154</v>
      </c>
      <c r="K451" s="2">
        <v>45158</v>
      </c>
      <c r="L451" s="2">
        <v>45166</v>
      </c>
      <c r="M451" s="2">
        <v>45171</v>
      </c>
      <c r="N451" s="2">
        <v>45176</v>
      </c>
      <c r="O451">
        <v>1</v>
      </c>
      <c r="P451">
        <v>1</v>
      </c>
      <c r="Q451">
        <v>1</v>
      </c>
      <c r="R451">
        <v>0</v>
      </c>
      <c r="S451">
        <v>1</v>
      </c>
      <c r="T451" t="s">
        <v>49</v>
      </c>
      <c r="U451">
        <v>47</v>
      </c>
      <c r="W451">
        <v>2</v>
      </c>
      <c r="X451">
        <v>831032</v>
      </c>
      <c r="Y451" t="s">
        <v>50</v>
      </c>
    </row>
    <row r="452" spans="1:25">
      <c r="A452" s="1" t="s">
        <v>521</v>
      </c>
      <c r="B452" t="s">
        <v>70</v>
      </c>
      <c r="C452" t="s">
        <v>71</v>
      </c>
      <c r="D452" t="s">
        <v>44</v>
      </c>
      <c r="E452" t="s">
        <v>54</v>
      </c>
      <c r="F452" t="s">
        <v>30</v>
      </c>
      <c r="G452" t="s">
        <v>39</v>
      </c>
      <c r="H452" t="s">
        <v>56</v>
      </c>
      <c r="I452" t="s">
        <v>33</v>
      </c>
      <c r="J452" s="2">
        <v>45427</v>
      </c>
      <c r="K452" s="2">
        <v>45429</v>
      </c>
      <c r="L452" s="2">
        <v>45436</v>
      </c>
      <c r="M452" s="2">
        <v>45439</v>
      </c>
      <c r="N452" s="2">
        <v>45457</v>
      </c>
      <c r="O452">
        <v>1</v>
      </c>
      <c r="P452">
        <v>1</v>
      </c>
      <c r="Q452">
        <v>0</v>
      </c>
      <c r="R452">
        <v>0</v>
      </c>
      <c r="S452">
        <v>0</v>
      </c>
      <c r="T452" t="s">
        <v>34</v>
      </c>
      <c r="U452">
        <v>82</v>
      </c>
      <c r="W452">
        <v>6</v>
      </c>
    </row>
    <row r="453" spans="1:25">
      <c r="A453" s="1" t="s">
        <v>522</v>
      </c>
      <c r="B453" t="s">
        <v>70</v>
      </c>
      <c r="C453" t="s">
        <v>27</v>
      </c>
      <c r="D453" t="s">
        <v>59</v>
      </c>
      <c r="E453" t="s">
        <v>54</v>
      </c>
      <c r="F453" t="s">
        <v>67</v>
      </c>
      <c r="G453" t="s">
        <v>31</v>
      </c>
      <c r="H453" t="s">
        <v>40</v>
      </c>
      <c r="I453" t="s">
        <v>41</v>
      </c>
      <c r="J453" s="2">
        <v>45193</v>
      </c>
      <c r="K453" s="2">
        <v>45195</v>
      </c>
      <c r="L453" s="2">
        <v>45200</v>
      </c>
      <c r="M453" s="2">
        <v>45204</v>
      </c>
      <c r="N453" s="2">
        <v>45222</v>
      </c>
      <c r="O453">
        <v>1</v>
      </c>
      <c r="P453">
        <v>1</v>
      </c>
      <c r="Q453">
        <v>1</v>
      </c>
      <c r="R453">
        <v>0</v>
      </c>
      <c r="S453">
        <v>0</v>
      </c>
      <c r="T453" t="s">
        <v>49</v>
      </c>
      <c r="U453">
        <v>49</v>
      </c>
      <c r="W453">
        <v>1</v>
      </c>
      <c r="X453">
        <v>505389</v>
      </c>
      <c r="Y453" t="s">
        <v>50</v>
      </c>
    </row>
    <row r="454" spans="1:25">
      <c r="A454" s="1" t="s">
        <v>523</v>
      </c>
      <c r="B454" t="s">
        <v>70</v>
      </c>
      <c r="C454" t="s">
        <v>71</v>
      </c>
      <c r="D454" t="s">
        <v>73</v>
      </c>
      <c r="E454" t="s">
        <v>102</v>
      </c>
      <c r="F454" t="s">
        <v>48</v>
      </c>
      <c r="G454" t="s">
        <v>60</v>
      </c>
      <c r="H454" t="s">
        <v>40</v>
      </c>
      <c r="I454" t="s">
        <v>41</v>
      </c>
      <c r="J454" s="2">
        <v>45362</v>
      </c>
      <c r="K454" s="2">
        <v>45363</v>
      </c>
      <c r="L454" s="2">
        <v>45367</v>
      </c>
      <c r="M454" s="2">
        <v>45371</v>
      </c>
      <c r="N454" s="2">
        <v>45389</v>
      </c>
      <c r="O454">
        <v>1</v>
      </c>
      <c r="P454">
        <v>1</v>
      </c>
      <c r="Q454">
        <v>1</v>
      </c>
      <c r="R454">
        <v>0</v>
      </c>
      <c r="S454">
        <v>0</v>
      </c>
      <c r="T454" t="s">
        <v>49</v>
      </c>
      <c r="U454">
        <v>66</v>
      </c>
      <c r="W454">
        <v>5</v>
      </c>
      <c r="X454">
        <v>1374634</v>
      </c>
      <c r="Y454" t="s">
        <v>127</v>
      </c>
    </row>
    <row r="455" spans="1:25">
      <c r="A455" s="1" t="s">
        <v>524</v>
      </c>
      <c r="B455" t="s">
        <v>26</v>
      </c>
      <c r="C455" t="s">
        <v>47</v>
      </c>
      <c r="D455" t="s">
        <v>52</v>
      </c>
      <c r="E455" t="s">
        <v>54</v>
      </c>
      <c r="F455" t="s">
        <v>30</v>
      </c>
      <c r="G455" t="s">
        <v>39</v>
      </c>
      <c r="H455" t="s">
        <v>32</v>
      </c>
      <c r="I455" t="s">
        <v>41</v>
      </c>
      <c r="J455" s="2">
        <v>45047</v>
      </c>
      <c r="K455" s="2">
        <v>45048</v>
      </c>
      <c r="L455" s="2">
        <v>45054</v>
      </c>
      <c r="M455" s="2">
        <v>45061</v>
      </c>
      <c r="N455" s="2">
        <v>45066</v>
      </c>
      <c r="O455">
        <v>1</v>
      </c>
      <c r="P455">
        <v>0</v>
      </c>
      <c r="Q455">
        <v>0</v>
      </c>
      <c r="R455">
        <v>0</v>
      </c>
      <c r="S455">
        <v>0</v>
      </c>
      <c r="T455" t="s">
        <v>34</v>
      </c>
      <c r="U455">
        <v>80</v>
      </c>
      <c r="W455">
        <v>15</v>
      </c>
    </row>
    <row r="456" spans="1:25">
      <c r="A456" s="1" t="s">
        <v>525</v>
      </c>
      <c r="B456" t="s">
        <v>70</v>
      </c>
      <c r="C456" t="s">
        <v>47</v>
      </c>
      <c r="D456" t="s">
        <v>73</v>
      </c>
      <c r="E456" t="s">
        <v>66</v>
      </c>
      <c r="F456" t="s">
        <v>48</v>
      </c>
      <c r="G456" t="s">
        <v>39</v>
      </c>
      <c r="H456" t="s">
        <v>56</v>
      </c>
      <c r="I456" t="s">
        <v>41</v>
      </c>
      <c r="J456" s="2">
        <v>45351</v>
      </c>
      <c r="K456" s="2">
        <v>45353</v>
      </c>
      <c r="L456" s="2">
        <v>45356</v>
      </c>
      <c r="M456" s="2">
        <v>45358</v>
      </c>
      <c r="N456" s="2">
        <v>45387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74</v>
      </c>
      <c r="U456">
        <v>61</v>
      </c>
      <c r="W456">
        <v>8</v>
      </c>
    </row>
    <row r="457" spans="1:25">
      <c r="A457" s="1" t="s">
        <v>526</v>
      </c>
      <c r="B457" t="s">
        <v>90</v>
      </c>
      <c r="C457" t="s">
        <v>71</v>
      </c>
      <c r="D457" t="s">
        <v>73</v>
      </c>
      <c r="E457" t="s">
        <v>102</v>
      </c>
      <c r="F457" t="s">
        <v>64</v>
      </c>
      <c r="G457" t="s">
        <v>45</v>
      </c>
      <c r="H457" t="s">
        <v>32</v>
      </c>
      <c r="I457" t="s">
        <v>33</v>
      </c>
      <c r="J457" s="2">
        <v>45066</v>
      </c>
      <c r="K457" s="2">
        <v>45070</v>
      </c>
      <c r="L457" s="2">
        <v>45076</v>
      </c>
      <c r="M457" s="2">
        <v>45079</v>
      </c>
      <c r="N457" s="2">
        <v>45084</v>
      </c>
      <c r="O457">
        <v>1</v>
      </c>
      <c r="P457">
        <v>0</v>
      </c>
      <c r="Q457">
        <v>0</v>
      </c>
      <c r="R457">
        <v>0</v>
      </c>
      <c r="S457">
        <v>0</v>
      </c>
      <c r="T457" t="s">
        <v>34</v>
      </c>
      <c r="U457">
        <v>49</v>
      </c>
      <c r="W457">
        <v>6</v>
      </c>
    </row>
    <row r="458" spans="1:25">
      <c r="A458" s="1" t="s">
        <v>527</v>
      </c>
      <c r="B458" t="s">
        <v>70</v>
      </c>
      <c r="C458" t="s">
        <v>37</v>
      </c>
      <c r="D458" t="s">
        <v>44</v>
      </c>
      <c r="E458" t="s">
        <v>102</v>
      </c>
      <c r="F458" t="s">
        <v>64</v>
      </c>
      <c r="G458" t="s">
        <v>39</v>
      </c>
      <c r="H458" t="s">
        <v>40</v>
      </c>
      <c r="I458" t="s">
        <v>41</v>
      </c>
      <c r="J458" s="2">
        <v>45441</v>
      </c>
      <c r="K458" s="2">
        <v>45442</v>
      </c>
      <c r="L458" s="2">
        <v>45449</v>
      </c>
      <c r="M458" s="2">
        <v>45456</v>
      </c>
      <c r="N458" s="2">
        <v>45463</v>
      </c>
      <c r="O458">
        <v>1</v>
      </c>
      <c r="P458">
        <v>0</v>
      </c>
      <c r="Q458">
        <v>0</v>
      </c>
      <c r="R458">
        <v>0</v>
      </c>
      <c r="S458">
        <v>0</v>
      </c>
      <c r="T458" t="s">
        <v>34</v>
      </c>
      <c r="U458">
        <v>71</v>
      </c>
      <c r="W458">
        <v>4</v>
      </c>
    </row>
    <row r="459" spans="1:25">
      <c r="A459" s="1" t="s">
        <v>528</v>
      </c>
      <c r="B459" t="s">
        <v>90</v>
      </c>
      <c r="C459" t="s">
        <v>27</v>
      </c>
      <c r="D459" t="s">
        <v>52</v>
      </c>
      <c r="E459" t="s">
        <v>29</v>
      </c>
      <c r="F459" t="s">
        <v>30</v>
      </c>
      <c r="G459" t="s">
        <v>31</v>
      </c>
      <c r="H459" t="s">
        <v>32</v>
      </c>
      <c r="I459" t="s">
        <v>41</v>
      </c>
      <c r="J459" s="2">
        <v>44977</v>
      </c>
      <c r="K459" s="2">
        <v>44981</v>
      </c>
      <c r="L459" s="2">
        <v>44986</v>
      </c>
      <c r="M459" s="2">
        <v>44988</v>
      </c>
      <c r="N459" s="2">
        <v>44998</v>
      </c>
      <c r="O459">
        <v>1</v>
      </c>
      <c r="P459">
        <v>0</v>
      </c>
      <c r="Q459">
        <v>0</v>
      </c>
      <c r="R459">
        <v>0</v>
      </c>
      <c r="S459">
        <v>1</v>
      </c>
      <c r="T459" t="s">
        <v>34</v>
      </c>
      <c r="U459">
        <v>63</v>
      </c>
      <c r="W459">
        <v>2</v>
      </c>
    </row>
    <row r="460" spans="1:25">
      <c r="A460" s="1" t="s">
        <v>529</v>
      </c>
      <c r="B460" t="s">
        <v>70</v>
      </c>
      <c r="C460" t="s">
        <v>47</v>
      </c>
      <c r="D460" t="s">
        <v>44</v>
      </c>
      <c r="E460" t="s">
        <v>63</v>
      </c>
      <c r="F460" t="s">
        <v>48</v>
      </c>
      <c r="G460" t="s">
        <v>55</v>
      </c>
      <c r="H460" t="s">
        <v>40</v>
      </c>
      <c r="I460" t="s">
        <v>41</v>
      </c>
      <c r="J460" s="2">
        <v>45321</v>
      </c>
      <c r="K460" s="2">
        <v>45323</v>
      </c>
      <c r="L460" s="2">
        <v>45329</v>
      </c>
      <c r="M460" s="2">
        <v>45333</v>
      </c>
      <c r="N460" s="2">
        <v>45351</v>
      </c>
      <c r="O460">
        <v>1</v>
      </c>
      <c r="P460">
        <v>1</v>
      </c>
      <c r="Q460">
        <v>1</v>
      </c>
      <c r="R460">
        <v>1</v>
      </c>
      <c r="S460">
        <v>0</v>
      </c>
      <c r="T460" t="s">
        <v>61</v>
      </c>
      <c r="U460">
        <v>89</v>
      </c>
      <c r="V460">
        <v>30</v>
      </c>
      <c r="W460">
        <v>10</v>
      </c>
      <c r="X460">
        <v>2018082</v>
      </c>
    </row>
    <row r="461" spans="1:25">
      <c r="A461" s="1" t="s">
        <v>530</v>
      </c>
      <c r="B461" t="s">
        <v>26</v>
      </c>
      <c r="C461" t="s">
        <v>71</v>
      </c>
      <c r="D461" t="s">
        <v>59</v>
      </c>
      <c r="E461" t="s">
        <v>102</v>
      </c>
      <c r="F461" t="s">
        <v>76</v>
      </c>
      <c r="G461" t="s">
        <v>55</v>
      </c>
      <c r="H461" t="s">
        <v>40</v>
      </c>
      <c r="I461" t="s">
        <v>41</v>
      </c>
      <c r="J461" s="2">
        <v>45055</v>
      </c>
      <c r="K461" s="2">
        <v>45059</v>
      </c>
      <c r="L461" s="2">
        <v>45063</v>
      </c>
      <c r="M461" s="2">
        <v>45067</v>
      </c>
      <c r="N461" s="2">
        <v>45079</v>
      </c>
      <c r="O461">
        <v>1</v>
      </c>
      <c r="P461">
        <v>0</v>
      </c>
      <c r="Q461">
        <v>0</v>
      </c>
      <c r="R461">
        <v>0</v>
      </c>
      <c r="S461">
        <v>0</v>
      </c>
      <c r="T461" t="s">
        <v>34</v>
      </c>
      <c r="U461">
        <v>62</v>
      </c>
      <c r="W461">
        <v>3</v>
      </c>
    </row>
    <row r="462" spans="1:25">
      <c r="A462" s="1" t="s">
        <v>531</v>
      </c>
      <c r="B462" t="s">
        <v>90</v>
      </c>
      <c r="C462" t="s">
        <v>37</v>
      </c>
      <c r="D462" t="s">
        <v>44</v>
      </c>
      <c r="E462" t="s">
        <v>29</v>
      </c>
      <c r="F462" t="s">
        <v>38</v>
      </c>
      <c r="G462" t="s">
        <v>45</v>
      </c>
      <c r="H462" t="s">
        <v>32</v>
      </c>
      <c r="I462" t="s">
        <v>41</v>
      </c>
      <c r="J462" s="2">
        <v>45155</v>
      </c>
      <c r="K462" s="2">
        <v>45159</v>
      </c>
      <c r="L462" s="2">
        <v>45163</v>
      </c>
      <c r="M462" s="2">
        <v>45167</v>
      </c>
      <c r="N462" s="2">
        <v>45176</v>
      </c>
      <c r="O462">
        <v>1</v>
      </c>
      <c r="P462">
        <v>1</v>
      </c>
      <c r="Q462">
        <v>1</v>
      </c>
      <c r="R462">
        <v>1</v>
      </c>
      <c r="S462">
        <v>0</v>
      </c>
      <c r="T462" t="s">
        <v>61</v>
      </c>
      <c r="U462">
        <v>70</v>
      </c>
      <c r="V462">
        <v>21</v>
      </c>
      <c r="W462">
        <v>3</v>
      </c>
      <c r="X462">
        <v>597863</v>
      </c>
    </row>
    <row r="463" spans="1:25">
      <c r="A463" s="1" t="s">
        <v>532</v>
      </c>
      <c r="B463" t="s">
        <v>26</v>
      </c>
      <c r="C463" t="s">
        <v>27</v>
      </c>
      <c r="D463" t="s">
        <v>73</v>
      </c>
      <c r="E463" t="s">
        <v>29</v>
      </c>
      <c r="F463" t="s">
        <v>38</v>
      </c>
      <c r="G463" t="s">
        <v>55</v>
      </c>
      <c r="H463" t="s">
        <v>56</v>
      </c>
      <c r="I463" t="s">
        <v>41</v>
      </c>
      <c r="J463" s="2">
        <v>45192</v>
      </c>
      <c r="K463" s="2">
        <v>45197</v>
      </c>
      <c r="L463" s="2">
        <v>45201</v>
      </c>
      <c r="M463" s="2">
        <v>45205</v>
      </c>
      <c r="N463" s="2">
        <v>45210</v>
      </c>
      <c r="O463">
        <v>1</v>
      </c>
      <c r="P463">
        <v>1</v>
      </c>
      <c r="Q463">
        <v>1</v>
      </c>
      <c r="R463">
        <v>1</v>
      </c>
      <c r="S463">
        <v>0</v>
      </c>
      <c r="T463" t="s">
        <v>61</v>
      </c>
      <c r="U463">
        <v>77</v>
      </c>
      <c r="V463">
        <v>18</v>
      </c>
      <c r="W463">
        <v>0</v>
      </c>
      <c r="X463">
        <v>580870</v>
      </c>
    </row>
    <row r="464" spans="1:25">
      <c r="A464" s="1" t="s">
        <v>533</v>
      </c>
      <c r="B464" t="s">
        <v>70</v>
      </c>
      <c r="C464" t="s">
        <v>71</v>
      </c>
      <c r="D464" t="s">
        <v>59</v>
      </c>
      <c r="E464" t="s">
        <v>63</v>
      </c>
      <c r="F464" t="s">
        <v>38</v>
      </c>
      <c r="G464" t="s">
        <v>60</v>
      </c>
      <c r="H464" t="s">
        <v>40</v>
      </c>
      <c r="I464" t="s">
        <v>41</v>
      </c>
      <c r="J464" s="2">
        <v>45056</v>
      </c>
      <c r="K464" s="2">
        <v>45057</v>
      </c>
      <c r="L464" s="2">
        <v>45063</v>
      </c>
      <c r="M464" s="2">
        <v>45070</v>
      </c>
      <c r="N464" s="2">
        <v>45090</v>
      </c>
      <c r="O464">
        <v>1</v>
      </c>
      <c r="P464">
        <v>1</v>
      </c>
      <c r="Q464">
        <v>1</v>
      </c>
      <c r="R464">
        <v>0</v>
      </c>
      <c r="S464">
        <v>0</v>
      </c>
      <c r="T464" t="s">
        <v>49</v>
      </c>
      <c r="U464">
        <v>94</v>
      </c>
      <c r="W464">
        <v>4</v>
      </c>
      <c r="X464">
        <v>1459387</v>
      </c>
      <c r="Y464" t="s">
        <v>50</v>
      </c>
    </row>
    <row r="465" spans="1:25">
      <c r="A465" s="1" t="s">
        <v>534</v>
      </c>
      <c r="B465" t="s">
        <v>26</v>
      </c>
      <c r="C465" t="s">
        <v>47</v>
      </c>
      <c r="D465" t="s">
        <v>59</v>
      </c>
      <c r="E465" t="s">
        <v>54</v>
      </c>
      <c r="F465" t="s">
        <v>30</v>
      </c>
      <c r="G465" t="s">
        <v>55</v>
      </c>
      <c r="H465" t="s">
        <v>56</v>
      </c>
      <c r="I465" t="s">
        <v>33</v>
      </c>
      <c r="J465" s="2">
        <v>45056</v>
      </c>
      <c r="K465" s="2">
        <v>45058</v>
      </c>
      <c r="L465" s="2">
        <v>45064</v>
      </c>
      <c r="M465" s="2">
        <v>45068</v>
      </c>
      <c r="N465" s="2">
        <v>45077</v>
      </c>
      <c r="O465">
        <v>1</v>
      </c>
      <c r="P465">
        <v>1</v>
      </c>
      <c r="Q465">
        <v>1</v>
      </c>
      <c r="R465">
        <v>1</v>
      </c>
      <c r="S465">
        <v>0</v>
      </c>
      <c r="T465" t="s">
        <v>61</v>
      </c>
      <c r="U465">
        <v>74</v>
      </c>
      <c r="V465">
        <v>21</v>
      </c>
      <c r="W465">
        <v>11</v>
      </c>
      <c r="X465">
        <v>2962561</v>
      </c>
    </row>
    <row r="466" spans="1:25">
      <c r="A466" s="1" t="s">
        <v>535</v>
      </c>
      <c r="B466" t="s">
        <v>36</v>
      </c>
      <c r="C466" t="s">
        <v>71</v>
      </c>
      <c r="D466" t="s">
        <v>44</v>
      </c>
      <c r="E466" t="s">
        <v>63</v>
      </c>
      <c r="F466" t="s">
        <v>76</v>
      </c>
      <c r="G466" t="s">
        <v>31</v>
      </c>
      <c r="H466" t="s">
        <v>40</v>
      </c>
      <c r="I466" t="s">
        <v>33</v>
      </c>
      <c r="J466" s="2">
        <v>45033</v>
      </c>
      <c r="K466" s="2">
        <v>45037</v>
      </c>
      <c r="L466" s="2">
        <v>45042</v>
      </c>
      <c r="M466" s="2">
        <v>45049</v>
      </c>
      <c r="N466" s="2">
        <v>45054</v>
      </c>
      <c r="O466">
        <v>1</v>
      </c>
      <c r="P466">
        <v>1</v>
      </c>
      <c r="Q466">
        <v>0</v>
      </c>
      <c r="R466">
        <v>0</v>
      </c>
      <c r="S466">
        <v>0</v>
      </c>
      <c r="T466" t="s">
        <v>34</v>
      </c>
      <c r="U466">
        <v>81</v>
      </c>
      <c r="W466">
        <v>4</v>
      </c>
    </row>
    <row r="467" spans="1:25">
      <c r="A467" s="1" t="s">
        <v>536</v>
      </c>
      <c r="B467" t="s">
        <v>90</v>
      </c>
      <c r="C467" t="s">
        <v>37</v>
      </c>
      <c r="D467" t="s">
        <v>44</v>
      </c>
      <c r="E467" t="s">
        <v>102</v>
      </c>
      <c r="F467" t="s">
        <v>48</v>
      </c>
      <c r="G467" t="s">
        <v>31</v>
      </c>
      <c r="H467" t="s">
        <v>56</v>
      </c>
      <c r="I467" t="s">
        <v>41</v>
      </c>
      <c r="J467" s="2">
        <v>45415</v>
      </c>
      <c r="K467" s="2">
        <v>45416</v>
      </c>
      <c r="L467" s="2">
        <v>45425</v>
      </c>
      <c r="M467" s="2">
        <v>45427</v>
      </c>
      <c r="N467" s="2">
        <v>45436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74</v>
      </c>
      <c r="U467">
        <v>70</v>
      </c>
      <c r="W467">
        <v>4</v>
      </c>
    </row>
    <row r="468" spans="1:25">
      <c r="A468" s="1" t="s">
        <v>537</v>
      </c>
      <c r="B468" t="s">
        <v>26</v>
      </c>
      <c r="C468" t="s">
        <v>37</v>
      </c>
      <c r="D468" t="s">
        <v>28</v>
      </c>
      <c r="E468" t="s">
        <v>29</v>
      </c>
      <c r="F468" t="s">
        <v>76</v>
      </c>
      <c r="G468" t="s">
        <v>55</v>
      </c>
      <c r="H468" t="s">
        <v>56</v>
      </c>
      <c r="I468" t="s">
        <v>33</v>
      </c>
      <c r="J468" s="2">
        <v>45008</v>
      </c>
      <c r="K468" s="2">
        <v>45012</v>
      </c>
      <c r="L468" s="2">
        <v>45019</v>
      </c>
      <c r="M468" s="2">
        <v>45024</v>
      </c>
      <c r="N468" s="2">
        <v>45025</v>
      </c>
      <c r="O468">
        <v>1</v>
      </c>
      <c r="P468">
        <v>1</v>
      </c>
      <c r="Q468">
        <v>0</v>
      </c>
      <c r="R468">
        <v>0</v>
      </c>
      <c r="S468">
        <v>0</v>
      </c>
      <c r="T468" t="s">
        <v>34</v>
      </c>
      <c r="U468">
        <v>70</v>
      </c>
      <c r="W468">
        <v>1</v>
      </c>
    </row>
    <row r="469" spans="1:25">
      <c r="A469" s="1" t="s">
        <v>538</v>
      </c>
      <c r="B469" t="s">
        <v>26</v>
      </c>
      <c r="C469" t="s">
        <v>27</v>
      </c>
      <c r="D469" t="s">
        <v>52</v>
      </c>
      <c r="E469" t="s">
        <v>63</v>
      </c>
      <c r="F469" t="s">
        <v>67</v>
      </c>
      <c r="G469" t="s">
        <v>39</v>
      </c>
      <c r="H469" t="s">
        <v>56</v>
      </c>
      <c r="I469" t="s">
        <v>33</v>
      </c>
      <c r="J469" s="2">
        <v>45378</v>
      </c>
      <c r="K469" s="2">
        <v>45383</v>
      </c>
      <c r="L469" s="2">
        <v>45390</v>
      </c>
      <c r="M469" s="2">
        <v>45396</v>
      </c>
      <c r="N469" s="2">
        <v>45390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74</v>
      </c>
      <c r="U469">
        <v>100</v>
      </c>
      <c r="W469">
        <v>0</v>
      </c>
    </row>
    <row r="470" spans="1:25">
      <c r="A470" s="1" t="s">
        <v>539</v>
      </c>
      <c r="B470" t="s">
        <v>58</v>
      </c>
      <c r="C470" t="s">
        <v>47</v>
      </c>
      <c r="D470" t="s">
        <v>59</v>
      </c>
      <c r="E470" t="s">
        <v>102</v>
      </c>
      <c r="F470" t="s">
        <v>64</v>
      </c>
      <c r="G470" t="s">
        <v>45</v>
      </c>
      <c r="H470" t="s">
        <v>40</v>
      </c>
      <c r="I470" t="s">
        <v>33</v>
      </c>
      <c r="J470" s="2">
        <v>45209</v>
      </c>
      <c r="K470" s="2">
        <v>45212</v>
      </c>
      <c r="L470" s="2">
        <v>45220</v>
      </c>
      <c r="M470" s="2">
        <v>45223</v>
      </c>
      <c r="N470" s="2">
        <v>45219</v>
      </c>
      <c r="O470">
        <v>1</v>
      </c>
      <c r="P470">
        <v>0</v>
      </c>
      <c r="Q470">
        <v>0</v>
      </c>
      <c r="R470">
        <v>0</v>
      </c>
      <c r="S470">
        <v>0</v>
      </c>
      <c r="T470" t="s">
        <v>34</v>
      </c>
      <c r="U470">
        <v>63</v>
      </c>
      <c r="W470">
        <v>9</v>
      </c>
    </row>
    <row r="471" spans="1:25">
      <c r="A471" s="1" t="s">
        <v>540</v>
      </c>
      <c r="B471" t="s">
        <v>26</v>
      </c>
      <c r="C471" t="s">
        <v>78</v>
      </c>
      <c r="D471" t="s">
        <v>52</v>
      </c>
      <c r="E471" t="s">
        <v>29</v>
      </c>
      <c r="F471" t="s">
        <v>64</v>
      </c>
      <c r="G471" t="s">
        <v>31</v>
      </c>
      <c r="H471" t="s">
        <v>56</v>
      </c>
      <c r="I471" t="s">
        <v>33</v>
      </c>
      <c r="J471" s="2">
        <v>45003</v>
      </c>
      <c r="K471" s="2">
        <v>45005</v>
      </c>
      <c r="L471" s="2">
        <v>45008</v>
      </c>
      <c r="M471" s="2">
        <v>45012</v>
      </c>
      <c r="N471" s="2">
        <v>45017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74</v>
      </c>
      <c r="U471">
        <v>95</v>
      </c>
      <c r="W471">
        <v>7</v>
      </c>
    </row>
    <row r="472" spans="1:25">
      <c r="A472" s="1" t="s">
        <v>541</v>
      </c>
      <c r="B472" t="s">
        <v>26</v>
      </c>
      <c r="C472" t="s">
        <v>27</v>
      </c>
      <c r="D472" t="s">
        <v>44</v>
      </c>
      <c r="E472" t="s">
        <v>54</v>
      </c>
      <c r="F472" t="s">
        <v>38</v>
      </c>
      <c r="G472" t="s">
        <v>31</v>
      </c>
      <c r="H472" t="s">
        <v>40</v>
      </c>
      <c r="I472" t="s">
        <v>33</v>
      </c>
      <c r="J472" s="2">
        <v>44986</v>
      </c>
      <c r="K472" s="2">
        <v>44991</v>
      </c>
      <c r="L472" s="2">
        <v>45000</v>
      </c>
      <c r="M472" s="2">
        <v>45004</v>
      </c>
      <c r="N472" s="2">
        <v>45002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74</v>
      </c>
      <c r="U472">
        <v>61</v>
      </c>
      <c r="W472">
        <v>2</v>
      </c>
    </row>
    <row r="473" spans="1:25">
      <c r="A473" s="1" t="s">
        <v>542</v>
      </c>
      <c r="B473" t="s">
        <v>36</v>
      </c>
      <c r="C473" t="s">
        <v>78</v>
      </c>
      <c r="D473" t="s">
        <v>44</v>
      </c>
      <c r="E473" t="s">
        <v>66</v>
      </c>
      <c r="F473" t="s">
        <v>48</v>
      </c>
      <c r="G473" t="s">
        <v>55</v>
      </c>
      <c r="H473" t="s">
        <v>40</v>
      </c>
      <c r="I473" t="s">
        <v>33</v>
      </c>
      <c r="J473" s="2">
        <v>45027</v>
      </c>
      <c r="K473" s="2">
        <v>45028</v>
      </c>
      <c r="L473" s="2">
        <v>45031</v>
      </c>
      <c r="M473" s="2">
        <v>45034</v>
      </c>
      <c r="N473" s="2">
        <v>45054</v>
      </c>
      <c r="O473">
        <v>1</v>
      </c>
      <c r="P473">
        <v>1</v>
      </c>
      <c r="Q473">
        <v>1</v>
      </c>
      <c r="R473">
        <v>1</v>
      </c>
      <c r="S473">
        <v>0</v>
      </c>
      <c r="T473" t="s">
        <v>61</v>
      </c>
      <c r="U473">
        <v>79</v>
      </c>
      <c r="V473">
        <v>27</v>
      </c>
      <c r="W473">
        <v>7</v>
      </c>
      <c r="X473">
        <v>1971610</v>
      </c>
    </row>
    <row r="474" spans="1:25">
      <c r="A474" s="1" t="s">
        <v>543</v>
      </c>
      <c r="B474" t="s">
        <v>70</v>
      </c>
      <c r="C474" t="s">
        <v>78</v>
      </c>
      <c r="D474" t="s">
        <v>28</v>
      </c>
      <c r="E474" t="s">
        <v>54</v>
      </c>
      <c r="F474" t="s">
        <v>48</v>
      </c>
      <c r="G474" t="s">
        <v>31</v>
      </c>
      <c r="H474" t="s">
        <v>32</v>
      </c>
      <c r="I474" t="s">
        <v>33</v>
      </c>
      <c r="J474" s="2">
        <v>45114</v>
      </c>
      <c r="K474" s="2">
        <v>45118</v>
      </c>
      <c r="L474" s="2">
        <v>45124</v>
      </c>
      <c r="M474" s="2">
        <v>45126</v>
      </c>
      <c r="N474" s="2">
        <v>45152</v>
      </c>
      <c r="O474">
        <v>1</v>
      </c>
      <c r="P474">
        <v>1</v>
      </c>
      <c r="Q474">
        <v>1</v>
      </c>
      <c r="R474">
        <v>1</v>
      </c>
      <c r="S474">
        <v>0</v>
      </c>
      <c r="T474" t="s">
        <v>61</v>
      </c>
      <c r="U474">
        <v>92</v>
      </c>
      <c r="V474">
        <v>38</v>
      </c>
      <c r="W474">
        <v>10</v>
      </c>
      <c r="X474">
        <v>1424185</v>
      </c>
    </row>
    <row r="475" spans="1:25">
      <c r="A475" s="1" t="s">
        <v>544</v>
      </c>
      <c r="B475" t="s">
        <v>26</v>
      </c>
      <c r="C475" t="s">
        <v>37</v>
      </c>
      <c r="D475" t="s">
        <v>28</v>
      </c>
      <c r="E475" t="s">
        <v>63</v>
      </c>
      <c r="F475" t="s">
        <v>48</v>
      </c>
      <c r="G475" t="s">
        <v>45</v>
      </c>
      <c r="H475" t="s">
        <v>56</v>
      </c>
      <c r="I475" t="s">
        <v>33</v>
      </c>
      <c r="J475" s="2">
        <v>45360</v>
      </c>
      <c r="K475" s="2">
        <v>45364</v>
      </c>
      <c r="L475" s="2">
        <v>45374</v>
      </c>
      <c r="M475" s="2">
        <v>45377</v>
      </c>
      <c r="N475" s="2">
        <v>45378</v>
      </c>
      <c r="O475">
        <v>1</v>
      </c>
      <c r="P475">
        <v>0</v>
      </c>
      <c r="Q475">
        <v>0</v>
      </c>
      <c r="R475">
        <v>0</v>
      </c>
      <c r="S475">
        <v>0</v>
      </c>
      <c r="T475" t="s">
        <v>34</v>
      </c>
      <c r="U475">
        <v>83</v>
      </c>
      <c r="W475">
        <v>4</v>
      </c>
    </row>
    <row r="476" spans="1:25">
      <c r="A476" s="1" t="s">
        <v>545</v>
      </c>
      <c r="B476" t="s">
        <v>26</v>
      </c>
      <c r="C476" t="s">
        <v>78</v>
      </c>
      <c r="D476" t="s">
        <v>28</v>
      </c>
      <c r="E476" t="s">
        <v>102</v>
      </c>
      <c r="F476" t="s">
        <v>48</v>
      </c>
      <c r="G476" t="s">
        <v>39</v>
      </c>
      <c r="H476" t="s">
        <v>32</v>
      </c>
      <c r="I476" t="s">
        <v>41</v>
      </c>
      <c r="J476" s="2">
        <v>45320</v>
      </c>
      <c r="K476" s="2">
        <v>45322</v>
      </c>
      <c r="L476" s="2">
        <v>45329</v>
      </c>
      <c r="M476" s="2">
        <v>45334</v>
      </c>
      <c r="N476" s="2">
        <v>45341</v>
      </c>
      <c r="O476">
        <v>1</v>
      </c>
      <c r="P476">
        <v>1</v>
      </c>
      <c r="Q476">
        <v>1</v>
      </c>
      <c r="R476">
        <v>1</v>
      </c>
      <c r="S476">
        <v>0</v>
      </c>
      <c r="T476" t="s">
        <v>61</v>
      </c>
      <c r="U476">
        <v>94</v>
      </c>
      <c r="V476">
        <v>21</v>
      </c>
      <c r="W476">
        <v>10</v>
      </c>
      <c r="X476">
        <v>1727983</v>
      </c>
    </row>
    <row r="477" spans="1:25">
      <c r="A477" s="1" t="s">
        <v>546</v>
      </c>
      <c r="B477" t="s">
        <v>70</v>
      </c>
      <c r="C477" t="s">
        <v>71</v>
      </c>
      <c r="D477" t="s">
        <v>44</v>
      </c>
      <c r="E477" t="s">
        <v>102</v>
      </c>
      <c r="F477" t="s">
        <v>48</v>
      </c>
      <c r="G477" t="s">
        <v>45</v>
      </c>
      <c r="H477" t="s">
        <v>40</v>
      </c>
      <c r="I477" t="s">
        <v>33</v>
      </c>
      <c r="J477" s="2">
        <v>45069</v>
      </c>
      <c r="K477" s="2">
        <v>45072</v>
      </c>
      <c r="L477" s="2">
        <v>45075</v>
      </c>
      <c r="M477" s="2">
        <v>45081</v>
      </c>
      <c r="N477" s="2">
        <v>45099</v>
      </c>
      <c r="O477">
        <v>1</v>
      </c>
      <c r="P477">
        <v>1</v>
      </c>
      <c r="Q477">
        <v>1</v>
      </c>
      <c r="R477">
        <v>0</v>
      </c>
      <c r="S477">
        <v>0</v>
      </c>
      <c r="T477" t="s">
        <v>49</v>
      </c>
      <c r="U477">
        <v>49</v>
      </c>
      <c r="W477">
        <v>3</v>
      </c>
      <c r="X477">
        <v>1155243</v>
      </c>
      <c r="Y477" t="s">
        <v>127</v>
      </c>
    </row>
    <row r="478" spans="1:25">
      <c r="A478" s="1" t="s">
        <v>547</v>
      </c>
      <c r="B478" t="s">
        <v>70</v>
      </c>
      <c r="C478" t="s">
        <v>47</v>
      </c>
      <c r="D478" t="s">
        <v>44</v>
      </c>
      <c r="E478" t="s">
        <v>54</v>
      </c>
      <c r="F478" t="s">
        <v>64</v>
      </c>
      <c r="G478" t="s">
        <v>45</v>
      </c>
      <c r="H478" t="s">
        <v>40</v>
      </c>
      <c r="I478" t="s">
        <v>41</v>
      </c>
      <c r="J478" s="2">
        <v>45171</v>
      </c>
      <c r="K478" s="2">
        <v>45172</v>
      </c>
      <c r="L478" s="2">
        <v>45178</v>
      </c>
      <c r="M478" s="2">
        <v>45185</v>
      </c>
      <c r="N478" s="2">
        <v>45194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74</v>
      </c>
      <c r="U478">
        <v>90</v>
      </c>
      <c r="W478">
        <v>10</v>
      </c>
    </row>
    <row r="479" spans="1:25">
      <c r="A479" s="1" t="s">
        <v>548</v>
      </c>
      <c r="B479" t="s">
        <v>43</v>
      </c>
      <c r="C479" t="s">
        <v>37</v>
      </c>
      <c r="D479" t="s">
        <v>73</v>
      </c>
      <c r="E479" t="s">
        <v>29</v>
      </c>
      <c r="F479" t="s">
        <v>30</v>
      </c>
      <c r="G479" t="s">
        <v>60</v>
      </c>
      <c r="H479" t="s">
        <v>32</v>
      </c>
      <c r="I479" t="s">
        <v>41</v>
      </c>
      <c r="J479" s="2">
        <v>45448</v>
      </c>
      <c r="K479" s="2">
        <v>45450</v>
      </c>
      <c r="L479" s="2">
        <v>45460</v>
      </c>
      <c r="M479" s="2">
        <v>45465</v>
      </c>
      <c r="N479" s="2">
        <v>45470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74</v>
      </c>
      <c r="U479">
        <v>71</v>
      </c>
      <c r="W479">
        <v>4</v>
      </c>
    </row>
    <row r="480" spans="1:25">
      <c r="A480" s="1" t="s">
        <v>549</v>
      </c>
      <c r="B480" t="s">
        <v>58</v>
      </c>
      <c r="C480" t="s">
        <v>37</v>
      </c>
      <c r="D480" t="s">
        <v>28</v>
      </c>
      <c r="E480" t="s">
        <v>29</v>
      </c>
      <c r="F480" t="s">
        <v>64</v>
      </c>
      <c r="G480" t="s">
        <v>45</v>
      </c>
      <c r="H480" t="s">
        <v>32</v>
      </c>
      <c r="I480" t="s">
        <v>41</v>
      </c>
      <c r="J480" s="2">
        <v>45072</v>
      </c>
      <c r="K480" s="2">
        <v>45076</v>
      </c>
      <c r="L480" s="2">
        <v>45082</v>
      </c>
      <c r="M480" s="2">
        <v>45087</v>
      </c>
      <c r="N480" s="2">
        <v>45088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74</v>
      </c>
      <c r="U480">
        <v>83</v>
      </c>
      <c r="W480">
        <v>3</v>
      </c>
    </row>
    <row r="481" spans="1:25">
      <c r="A481" s="1" t="s">
        <v>550</v>
      </c>
      <c r="B481" t="s">
        <v>43</v>
      </c>
      <c r="C481" t="s">
        <v>27</v>
      </c>
      <c r="D481" t="s">
        <v>44</v>
      </c>
      <c r="E481" t="s">
        <v>66</v>
      </c>
      <c r="F481" t="s">
        <v>76</v>
      </c>
      <c r="G481" t="s">
        <v>55</v>
      </c>
      <c r="H481" t="s">
        <v>32</v>
      </c>
      <c r="I481" t="s">
        <v>33</v>
      </c>
      <c r="J481" s="2">
        <v>44964</v>
      </c>
      <c r="K481" s="2">
        <v>44966</v>
      </c>
      <c r="L481" s="2">
        <v>44973</v>
      </c>
      <c r="M481" s="2">
        <v>44977</v>
      </c>
      <c r="N481" s="2">
        <v>44985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74</v>
      </c>
      <c r="U481">
        <v>62</v>
      </c>
      <c r="W481">
        <v>1</v>
      </c>
    </row>
    <row r="482" spans="1:25">
      <c r="A482" s="1" t="s">
        <v>551</v>
      </c>
      <c r="B482" t="s">
        <v>70</v>
      </c>
      <c r="C482" t="s">
        <v>37</v>
      </c>
      <c r="D482" t="s">
        <v>73</v>
      </c>
      <c r="E482" t="s">
        <v>29</v>
      </c>
      <c r="F482" t="s">
        <v>48</v>
      </c>
      <c r="G482" t="s">
        <v>45</v>
      </c>
      <c r="H482" t="s">
        <v>56</v>
      </c>
      <c r="I482" t="s">
        <v>41</v>
      </c>
      <c r="J482" s="2">
        <v>45051</v>
      </c>
      <c r="K482" s="2">
        <v>45053</v>
      </c>
      <c r="L482" s="2">
        <v>45060</v>
      </c>
      <c r="M482" s="2">
        <v>45062</v>
      </c>
      <c r="N482" s="2">
        <v>45085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74</v>
      </c>
      <c r="U482">
        <v>85</v>
      </c>
      <c r="W482">
        <v>1</v>
      </c>
    </row>
    <row r="483" spans="1:25">
      <c r="A483" s="1" t="s">
        <v>552</v>
      </c>
      <c r="B483" t="s">
        <v>70</v>
      </c>
      <c r="C483" t="s">
        <v>78</v>
      </c>
      <c r="D483" t="s">
        <v>73</v>
      </c>
      <c r="E483" t="s">
        <v>102</v>
      </c>
      <c r="F483" t="s">
        <v>48</v>
      </c>
      <c r="G483" t="s">
        <v>60</v>
      </c>
      <c r="H483" t="s">
        <v>32</v>
      </c>
      <c r="I483" t="s">
        <v>33</v>
      </c>
      <c r="J483" s="2">
        <v>45001</v>
      </c>
      <c r="K483" s="2">
        <v>45003</v>
      </c>
      <c r="L483" s="2">
        <v>45013</v>
      </c>
      <c r="M483" s="2">
        <v>45019</v>
      </c>
      <c r="N483" s="2">
        <v>45028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74</v>
      </c>
      <c r="U483">
        <v>52</v>
      </c>
      <c r="W483">
        <v>9</v>
      </c>
    </row>
    <row r="484" spans="1:25">
      <c r="A484" s="1" t="s">
        <v>553</v>
      </c>
      <c r="B484" t="s">
        <v>43</v>
      </c>
      <c r="C484" t="s">
        <v>71</v>
      </c>
      <c r="D484" t="s">
        <v>59</v>
      </c>
      <c r="E484" t="s">
        <v>63</v>
      </c>
      <c r="F484" t="s">
        <v>38</v>
      </c>
      <c r="G484" t="s">
        <v>39</v>
      </c>
      <c r="H484" t="s">
        <v>56</v>
      </c>
      <c r="I484" t="s">
        <v>41</v>
      </c>
      <c r="J484" s="2">
        <v>45074</v>
      </c>
      <c r="K484" s="2">
        <v>45075</v>
      </c>
      <c r="L484" s="2">
        <v>45080</v>
      </c>
      <c r="M484" s="2">
        <v>45086</v>
      </c>
      <c r="N484" s="2">
        <v>45095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74</v>
      </c>
      <c r="U484">
        <v>76</v>
      </c>
      <c r="W484">
        <v>7</v>
      </c>
    </row>
    <row r="485" spans="1:25">
      <c r="A485" s="1" t="s">
        <v>554</v>
      </c>
      <c r="B485" t="s">
        <v>43</v>
      </c>
      <c r="C485" t="s">
        <v>37</v>
      </c>
      <c r="D485" t="s">
        <v>28</v>
      </c>
      <c r="E485" t="s">
        <v>29</v>
      </c>
      <c r="F485" t="s">
        <v>67</v>
      </c>
      <c r="G485" t="s">
        <v>60</v>
      </c>
      <c r="H485" t="s">
        <v>56</v>
      </c>
      <c r="I485" t="s">
        <v>33</v>
      </c>
      <c r="J485" s="2">
        <v>45242</v>
      </c>
      <c r="K485" s="2">
        <v>45244</v>
      </c>
      <c r="L485" s="2">
        <v>45251</v>
      </c>
      <c r="M485" s="2">
        <v>45253</v>
      </c>
      <c r="N485" s="2">
        <v>45270</v>
      </c>
      <c r="O485">
        <v>1</v>
      </c>
      <c r="P485">
        <v>0</v>
      </c>
      <c r="Q485">
        <v>0</v>
      </c>
      <c r="R485">
        <v>0</v>
      </c>
      <c r="S485">
        <v>0</v>
      </c>
      <c r="T485" t="s">
        <v>34</v>
      </c>
      <c r="U485">
        <v>47</v>
      </c>
      <c r="W485">
        <v>2</v>
      </c>
    </row>
    <row r="486" spans="1:25">
      <c r="A486" s="1" t="s">
        <v>555</v>
      </c>
      <c r="B486" t="s">
        <v>58</v>
      </c>
      <c r="C486" t="s">
        <v>27</v>
      </c>
      <c r="D486" t="s">
        <v>44</v>
      </c>
      <c r="E486" t="s">
        <v>66</v>
      </c>
      <c r="F486" t="s">
        <v>64</v>
      </c>
      <c r="G486" t="s">
        <v>55</v>
      </c>
      <c r="H486" t="s">
        <v>56</v>
      </c>
      <c r="I486" t="s">
        <v>41</v>
      </c>
      <c r="J486" s="2">
        <v>45374</v>
      </c>
      <c r="K486" s="2">
        <v>45379</v>
      </c>
      <c r="L486" s="2">
        <v>45388</v>
      </c>
      <c r="M486" s="2">
        <v>45394</v>
      </c>
      <c r="N486" s="2">
        <v>45389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74</v>
      </c>
      <c r="U486">
        <v>73</v>
      </c>
      <c r="W486">
        <v>1</v>
      </c>
    </row>
    <row r="487" spans="1:25">
      <c r="A487" s="1" t="s">
        <v>556</v>
      </c>
      <c r="B487" t="s">
        <v>36</v>
      </c>
      <c r="C487" t="s">
        <v>71</v>
      </c>
      <c r="D487" t="s">
        <v>59</v>
      </c>
      <c r="E487" t="s">
        <v>29</v>
      </c>
      <c r="F487" t="s">
        <v>30</v>
      </c>
      <c r="G487" t="s">
        <v>39</v>
      </c>
      <c r="H487" t="s">
        <v>56</v>
      </c>
      <c r="I487" t="s">
        <v>33</v>
      </c>
      <c r="J487" s="2">
        <v>45099</v>
      </c>
      <c r="K487" s="2">
        <v>45103</v>
      </c>
      <c r="L487" s="2">
        <v>45112</v>
      </c>
      <c r="M487" s="2">
        <v>45115</v>
      </c>
      <c r="N487" s="2">
        <v>45120</v>
      </c>
      <c r="O487">
        <v>1</v>
      </c>
      <c r="P487">
        <v>1</v>
      </c>
      <c r="Q487">
        <v>0</v>
      </c>
      <c r="R487">
        <v>0</v>
      </c>
      <c r="S487">
        <v>0</v>
      </c>
      <c r="T487" t="s">
        <v>34</v>
      </c>
      <c r="U487">
        <v>73</v>
      </c>
      <c r="W487">
        <v>4</v>
      </c>
    </row>
    <row r="488" spans="1:25">
      <c r="A488" s="1" t="s">
        <v>557</v>
      </c>
      <c r="B488" t="s">
        <v>70</v>
      </c>
      <c r="C488" t="s">
        <v>37</v>
      </c>
      <c r="D488" t="s">
        <v>44</v>
      </c>
      <c r="E488" t="s">
        <v>63</v>
      </c>
      <c r="F488" t="s">
        <v>67</v>
      </c>
      <c r="G488" t="s">
        <v>55</v>
      </c>
      <c r="H488" t="s">
        <v>32</v>
      </c>
      <c r="I488" t="s">
        <v>41</v>
      </c>
      <c r="J488" s="2">
        <v>45448</v>
      </c>
      <c r="K488" s="2">
        <v>45452</v>
      </c>
      <c r="L488" s="2">
        <v>45457</v>
      </c>
      <c r="M488" s="2">
        <v>45464</v>
      </c>
      <c r="N488" s="2">
        <v>45473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74</v>
      </c>
      <c r="U488">
        <v>73</v>
      </c>
      <c r="W488">
        <v>1</v>
      </c>
    </row>
    <row r="489" spans="1:25">
      <c r="A489" s="1" t="s">
        <v>558</v>
      </c>
      <c r="B489" t="s">
        <v>70</v>
      </c>
      <c r="C489" t="s">
        <v>47</v>
      </c>
      <c r="D489" t="s">
        <v>73</v>
      </c>
      <c r="E489" t="s">
        <v>63</v>
      </c>
      <c r="F489" t="s">
        <v>76</v>
      </c>
      <c r="G489" t="s">
        <v>60</v>
      </c>
      <c r="H489" t="s">
        <v>32</v>
      </c>
      <c r="I489" t="s">
        <v>41</v>
      </c>
      <c r="J489" s="2">
        <v>44989</v>
      </c>
      <c r="K489" s="2">
        <v>44990</v>
      </c>
      <c r="L489" s="2">
        <v>45000</v>
      </c>
      <c r="M489" s="2">
        <v>45005</v>
      </c>
      <c r="N489" s="2">
        <v>45010</v>
      </c>
      <c r="O489">
        <v>1</v>
      </c>
      <c r="P489">
        <v>0</v>
      </c>
      <c r="Q489">
        <v>0</v>
      </c>
      <c r="R489">
        <v>0</v>
      </c>
      <c r="S489">
        <v>0</v>
      </c>
      <c r="T489" t="s">
        <v>34</v>
      </c>
      <c r="U489">
        <v>65</v>
      </c>
      <c r="W489">
        <v>14</v>
      </c>
    </row>
    <row r="490" spans="1:25">
      <c r="A490" s="1" t="s">
        <v>559</v>
      </c>
      <c r="B490" t="s">
        <v>26</v>
      </c>
      <c r="C490" t="s">
        <v>47</v>
      </c>
      <c r="D490" t="s">
        <v>28</v>
      </c>
      <c r="E490" t="s">
        <v>63</v>
      </c>
      <c r="F490" t="s">
        <v>48</v>
      </c>
      <c r="G490" t="s">
        <v>60</v>
      </c>
      <c r="H490" t="s">
        <v>32</v>
      </c>
      <c r="I490" t="s">
        <v>41</v>
      </c>
      <c r="J490" s="2">
        <v>45026</v>
      </c>
      <c r="K490" s="2">
        <v>45031</v>
      </c>
      <c r="L490" s="2">
        <v>45036</v>
      </c>
      <c r="M490" s="2">
        <v>45039</v>
      </c>
      <c r="N490" s="2">
        <v>45046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74</v>
      </c>
      <c r="U490">
        <v>73</v>
      </c>
      <c r="W490">
        <v>13</v>
      </c>
    </row>
    <row r="491" spans="1:25">
      <c r="A491" s="1" t="s">
        <v>560</v>
      </c>
      <c r="B491" t="s">
        <v>70</v>
      </c>
      <c r="C491" t="s">
        <v>78</v>
      </c>
      <c r="D491" t="s">
        <v>52</v>
      </c>
      <c r="E491" t="s">
        <v>54</v>
      </c>
      <c r="F491" t="s">
        <v>38</v>
      </c>
      <c r="G491" t="s">
        <v>55</v>
      </c>
      <c r="H491" t="s">
        <v>32</v>
      </c>
      <c r="I491" t="s">
        <v>33</v>
      </c>
      <c r="J491" s="2">
        <v>45086</v>
      </c>
      <c r="K491" s="2">
        <v>45089</v>
      </c>
      <c r="L491" s="2">
        <v>45097</v>
      </c>
      <c r="M491" s="2">
        <v>45101</v>
      </c>
      <c r="N491" s="2">
        <v>45116</v>
      </c>
      <c r="O491">
        <v>1</v>
      </c>
      <c r="P491">
        <v>1</v>
      </c>
      <c r="Q491">
        <v>1</v>
      </c>
      <c r="R491">
        <v>1</v>
      </c>
      <c r="S491">
        <v>0</v>
      </c>
      <c r="T491" t="s">
        <v>61</v>
      </c>
      <c r="U491">
        <v>69</v>
      </c>
      <c r="V491">
        <v>30</v>
      </c>
      <c r="W491">
        <v>8</v>
      </c>
      <c r="X491">
        <v>1650995</v>
      </c>
    </row>
    <row r="492" spans="1:25">
      <c r="A492" s="1" t="s">
        <v>561</v>
      </c>
      <c r="B492" t="s">
        <v>70</v>
      </c>
      <c r="C492" t="s">
        <v>78</v>
      </c>
      <c r="D492" t="s">
        <v>52</v>
      </c>
      <c r="E492" t="s">
        <v>102</v>
      </c>
      <c r="F492" t="s">
        <v>30</v>
      </c>
      <c r="G492" t="s">
        <v>31</v>
      </c>
      <c r="H492" t="s">
        <v>32</v>
      </c>
      <c r="I492" t="s">
        <v>41</v>
      </c>
      <c r="J492" s="2">
        <v>45469</v>
      </c>
      <c r="K492" s="2">
        <v>45474</v>
      </c>
      <c r="L492" s="2">
        <v>45480</v>
      </c>
      <c r="M492" s="2">
        <v>45486</v>
      </c>
      <c r="N492" s="2">
        <v>45505</v>
      </c>
      <c r="O492">
        <v>1</v>
      </c>
      <c r="P492">
        <v>1</v>
      </c>
      <c r="Q492">
        <v>1</v>
      </c>
      <c r="R492">
        <v>0</v>
      </c>
      <c r="S492">
        <v>0</v>
      </c>
      <c r="T492" t="s">
        <v>49</v>
      </c>
      <c r="U492">
        <v>95</v>
      </c>
      <c r="W492">
        <v>10</v>
      </c>
      <c r="X492">
        <v>1811455</v>
      </c>
      <c r="Y492" t="s">
        <v>68</v>
      </c>
    </row>
    <row r="493" spans="1:25">
      <c r="A493" s="1" t="s">
        <v>562</v>
      </c>
      <c r="B493" t="s">
        <v>70</v>
      </c>
      <c r="C493" t="s">
        <v>27</v>
      </c>
      <c r="D493" t="s">
        <v>44</v>
      </c>
      <c r="E493" t="s">
        <v>29</v>
      </c>
      <c r="F493" t="s">
        <v>76</v>
      </c>
      <c r="G493" t="s">
        <v>39</v>
      </c>
      <c r="H493" t="s">
        <v>32</v>
      </c>
      <c r="I493" t="s">
        <v>41</v>
      </c>
      <c r="J493" s="2">
        <v>45451</v>
      </c>
      <c r="K493" s="2">
        <v>45454</v>
      </c>
      <c r="L493" s="2">
        <v>45464</v>
      </c>
      <c r="M493" s="2">
        <v>45470</v>
      </c>
      <c r="N493" s="2">
        <v>45471</v>
      </c>
      <c r="O493">
        <v>1</v>
      </c>
      <c r="P493">
        <v>0</v>
      </c>
      <c r="Q493">
        <v>0</v>
      </c>
      <c r="R493">
        <v>0</v>
      </c>
      <c r="S493">
        <v>0</v>
      </c>
      <c r="T493" t="s">
        <v>34</v>
      </c>
      <c r="U493">
        <v>62</v>
      </c>
      <c r="W493">
        <v>1</v>
      </c>
    </row>
    <row r="494" spans="1:25">
      <c r="A494" s="1" t="s">
        <v>563</v>
      </c>
      <c r="B494" t="s">
        <v>90</v>
      </c>
      <c r="C494" t="s">
        <v>27</v>
      </c>
      <c r="D494" t="s">
        <v>44</v>
      </c>
      <c r="E494" t="s">
        <v>66</v>
      </c>
      <c r="F494" t="s">
        <v>38</v>
      </c>
      <c r="G494" t="s">
        <v>60</v>
      </c>
      <c r="H494" t="s">
        <v>56</v>
      </c>
      <c r="I494" t="s">
        <v>41</v>
      </c>
      <c r="J494" s="2">
        <v>45145</v>
      </c>
      <c r="K494" s="2">
        <v>45150</v>
      </c>
      <c r="L494" s="2">
        <v>45158</v>
      </c>
      <c r="M494" s="2">
        <v>45160</v>
      </c>
      <c r="N494" s="2">
        <v>45166</v>
      </c>
      <c r="O494">
        <v>1</v>
      </c>
      <c r="P494">
        <v>0</v>
      </c>
      <c r="Q494">
        <v>0</v>
      </c>
      <c r="R494">
        <v>0</v>
      </c>
      <c r="S494">
        <v>0</v>
      </c>
      <c r="T494" t="s">
        <v>34</v>
      </c>
      <c r="U494">
        <v>76</v>
      </c>
      <c r="W494">
        <v>1</v>
      </c>
    </row>
    <row r="495" spans="1:25">
      <c r="A495" s="1" t="s">
        <v>564</v>
      </c>
      <c r="B495" t="s">
        <v>90</v>
      </c>
      <c r="C495" t="s">
        <v>27</v>
      </c>
      <c r="D495" t="s">
        <v>73</v>
      </c>
      <c r="E495" t="s">
        <v>66</v>
      </c>
      <c r="F495" t="s">
        <v>38</v>
      </c>
      <c r="G495" t="s">
        <v>31</v>
      </c>
      <c r="H495" t="s">
        <v>32</v>
      </c>
      <c r="I495" t="s">
        <v>41</v>
      </c>
      <c r="J495" s="2">
        <v>45231</v>
      </c>
      <c r="K495" s="2">
        <v>45233</v>
      </c>
      <c r="L495" s="2">
        <v>45238</v>
      </c>
      <c r="M495" s="2">
        <v>45241</v>
      </c>
      <c r="N495" s="2">
        <v>45264</v>
      </c>
      <c r="O495">
        <v>1</v>
      </c>
      <c r="P495">
        <v>1</v>
      </c>
      <c r="Q495">
        <v>1</v>
      </c>
      <c r="R495">
        <v>0</v>
      </c>
      <c r="S495">
        <v>0</v>
      </c>
      <c r="T495" t="s">
        <v>49</v>
      </c>
      <c r="U495">
        <v>86</v>
      </c>
      <c r="W495">
        <v>2</v>
      </c>
      <c r="X495">
        <v>443227</v>
      </c>
      <c r="Y495" t="s">
        <v>127</v>
      </c>
    </row>
    <row r="496" spans="1:25">
      <c r="A496" s="1" t="s">
        <v>565</v>
      </c>
      <c r="B496" t="s">
        <v>26</v>
      </c>
      <c r="C496" t="s">
        <v>47</v>
      </c>
      <c r="D496" t="s">
        <v>59</v>
      </c>
      <c r="E496" t="s">
        <v>29</v>
      </c>
      <c r="F496" t="s">
        <v>30</v>
      </c>
      <c r="G496" t="s">
        <v>55</v>
      </c>
      <c r="H496" t="s">
        <v>40</v>
      </c>
      <c r="I496" t="s">
        <v>33</v>
      </c>
      <c r="J496" s="2">
        <v>45158</v>
      </c>
      <c r="K496" s="2">
        <v>45159</v>
      </c>
      <c r="L496" s="2">
        <v>45169</v>
      </c>
      <c r="M496" s="2">
        <v>45175</v>
      </c>
      <c r="N496" s="2">
        <v>45172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74</v>
      </c>
      <c r="U496">
        <v>61</v>
      </c>
      <c r="W496">
        <v>11</v>
      </c>
    </row>
    <row r="497" spans="1:25">
      <c r="A497" s="1" t="s">
        <v>566</v>
      </c>
      <c r="B497" t="s">
        <v>90</v>
      </c>
      <c r="C497" t="s">
        <v>47</v>
      </c>
      <c r="D497" t="s">
        <v>59</v>
      </c>
      <c r="E497" t="s">
        <v>63</v>
      </c>
      <c r="F497" t="s">
        <v>76</v>
      </c>
      <c r="G497" t="s">
        <v>31</v>
      </c>
      <c r="H497" t="s">
        <v>40</v>
      </c>
      <c r="I497" t="s">
        <v>41</v>
      </c>
      <c r="J497" s="2">
        <v>45339</v>
      </c>
      <c r="K497" s="2">
        <v>45341</v>
      </c>
      <c r="L497" s="2">
        <v>45344</v>
      </c>
      <c r="M497" s="2">
        <v>45347</v>
      </c>
      <c r="N497" s="2">
        <v>45365</v>
      </c>
      <c r="O497">
        <v>1</v>
      </c>
      <c r="P497">
        <v>0</v>
      </c>
      <c r="Q497">
        <v>0</v>
      </c>
      <c r="R497">
        <v>0</v>
      </c>
      <c r="S497">
        <v>0</v>
      </c>
      <c r="T497" t="s">
        <v>34</v>
      </c>
      <c r="U497">
        <v>58</v>
      </c>
      <c r="W497">
        <v>11</v>
      </c>
    </row>
    <row r="498" spans="1:25">
      <c r="A498" s="1" t="s">
        <v>567</v>
      </c>
      <c r="B498" t="s">
        <v>43</v>
      </c>
      <c r="C498" t="s">
        <v>37</v>
      </c>
      <c r="D498" t="s">
        <v>52</v>
      </c>
      <c r="E498" t="s">
        <v>66</v>
      </c>
      <c r="F498" t="s">
        <v>64</v>
      </c>
      <c r="G498" t="s">
        <v>55</v>
      </c>
      <c r="H498" t="s">
        <v>56</v>
      </c>
      <c r="I498" t="s">
        <v>41</v>
      </c>
      <c r="J498" s="2">
        <v>45119</v>
      </c>
      <c r="K498" s="2">
        <v>45120</v>
      </c>
      <c r="L498" s="2">
        <v>45129</v>
      </c>
      <c r="M498" s="2">
        <v>45131</v>
      </c>
      <c r="N498" s="2">
        <v>45139</v>
      </c>
      <c r="O498">
        <v>1</v>
      </c>
      <c r="P498">
        <v>0</v>
      </c>
      <c r="Q498">
        <v>0</v>
      </c>
      <c r="R498">
        <v>0</v>
      </c>
      <c r="S498">
        <v>0</v>
      </c>
      <c r="T498" t="s">
        <v>34</v>
      </c>
      <c r="U498">
        <v>71</v>
      </c>
      <c r="W498">
        <v>4</v>
      </c>
    </row>
    <row r="499" spans="1:25">
      <c r="A499" s="1" t="s">
        <v>568</v>
      </c>
      <c r="B499" t="s">
        <v>26</v>
      </c>
      <c r="C499" t="s">
        <v>37</v>
      </c>
      <c r="D499" t="s">
        <v>59</v>
      </c>
      <c r="E499" t="s">
        <v>29</v>
      </c>
      <c r="F499" t="s">
        <v>67</v>
      </c>
      <c r="G499" t="s">
        <v>55</v>
      </c>
      <c r="H499" t="s">
        <v>32</v>
      </c>
      <c r="I499" t="s">
        <v>33</v>
      </c>
      <c r="J499" s="2">
        <v>44930</v>
      </c>
      <c r="K499" s="2">
        <v>44933</v>
      </c>
      <c r="L499" s="2">
        <v>44936</v>
      </c>
      <c r="M499" s="2">
        <v>44941</v>
      </c>
      <c r="N499" s="2">
        <v>44946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74</v>
      </c>
      <c r="U499">
        <v>68</v>
      </c>
      <c r="W499">
        <v>2</v>
      </c>
    </row>
    <row r="500" spans="1:25">
      <c r="A500" s="1" t="s">
        <v>569</v>
      </c>
      <c r="B500" t="s">
        <v>90</v>
      </c>
      <c r="C500" t="s">
        <v>71</v>
      </c>
      <c r="D500" t="s">
        <v>44</v>
      </c>
      <c r="E500" t="s">
        <v>66</v>
      </c>
      <c r="F500" t="s">
        <v>38</v>
      </c>
      <c r="G500" t="s">
        <v>60</v>
      </c>
      <c r="H500" t="s">
        <v>40</v>
      </c>
      <c r="I500" t="s">
        <v>33</v>
      </c>
      <c r="J500" s="2">
        <v>44982</v>
      </c>
      <c r="K500" s="2">
        <v>44983</v>
      </c>
      <c r="L500" s="2">
        <v>44993</v>
      </c>
      <c r="M500" s="2">
        <v>44997</v>
      </c>
      <c r="N500" s="2">
        <v>45001</v>
      </c>
      <c r="O500">
        <v>1</v>
      </c>
      <c r="P500">
        <v>0</v>
      </c>
      <c r="Q500">
        <v>0</v>
      </c>
      <c r="R500">
        <v>0</v>
      </c>
      <c r="S500">
        <v>0</v>
      </c>
      <c r="T500" t="s">
        <v>34</v>
      </c>
      <c r="U500">
        <v>60</v>
      </c>
      <c r="W500">
        <v>7</v>
      </c>
    </row>
    <row r="501" spans="1:25">
      <c r="A501" s="1" t="s">
        <v>570</v>
      </c>
      <c r="B501" t="s">
        <v>26</v>
      </c>
      <c r="C501" t="s">
        <v>37</v>
      </c>
      <c r="D501" t="s">
        <v>73</v>
      </c>
      <c r="E501" t="s">
        <v>29</v>
      </c>
      <c r="F501" t="s">
        <v>64</v>
      </c>
      <c r="G501" t="s">
        <v>60</v>
      </c>
      <c r="H501" t="s">
        <v>56</v>
      </c>
      <c r="I501" t="s">
        <v>41</v>
      </c>
      <c r="J501" s="2">
        <v>44953</v>
      </c>
      <c r="K501" s="2">
        <v>44954</v>
      </c>
      <c r="L501" s="2">
        <v>44961</v>
      </c>
      <c r="M501" s="2">
        <v>44963</v>
      </c>
      <c r="N501" s="2">
        <v>44970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74</v>
      </c>
      <c r="U501">
        <v>57</v>
      </c>
      <c r="W501">
        <v>2</v>
      </c>
    </row>
    <row r="502" spans="1:25">
      <c r="A502" s="1" t="s">
        <v>571</v>
      </c>
      <c r="B502" t="s">
        <v>36</v>
      </c>
      <c r="C502" t="s">
        <v>47</v>
      </c>
      <c r="D502" t="s">
        <v>44</v>
      </c>
      <c r="E502" t="s">
        <v>29</v>
      </c>
      <c r="F502" t="s">
        <v>30</v>
      </c>
      <c r="G502" t="s">
        <v>45</v>
      </c>
      <c r="H502" t="s">
        <v>56</v>
      </c>
      <c r="I502" t="s">
        <v>33</v>
      </c>
      <c r="J502" s="2">
        <v>45208</v>
      </c>
      <c r="K502" s="2">
        <v>45212</v>
      </c>
      <c r="L502" s="2">
        <v>45221</v>
      </c>
      <c r="M502" s="2">
        <v>45223</v>
      </c>
      <c r="N502" s="2">
        <v>45230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74</v>
      </c>
      <c r="U502">
        <v>81</v>
      </c>
      <c r="W502">
        <v>10</v>
      </c>
    </row>
    <row r="503" spans="1:25">
      <c r="A503" s="1" t="s">
        <v>572</v>
      </c>
      <c r="B503" t="s">
        <v>70</v>
      </c>
      <c r="C503" t="s">
        <v>47</v>
      </c>
      <c r="D503" t="s">
        <v>52</v>
      </c>
      <c r="E503" t="s">
        <v>54</v>
      </c>
      <c r="F503" t="s">
        <v>38</v>
      </c>
      <c r="G503" t="s">
        <v>45</v>
      </c>
      <c r="H503" t="s">
        <v>56</v>
      </c>
      <c r="I503" t="s">
        <v>33</v>
      </c>
      <c r="J503" s="2">
        <v>44979</v>
      </c>
      <c r="K503" s="2">
        <v>44984</v>
      </c>
      <c r="L503" s="2">
        <v>44994</v>
      </c>
      <c r="M503" s="2">
        <v>45000</v>
      </c>
      <c r="N503" s="2">
        <v>45002</v>
      </c>
      <c r="O503">
        <v>1</v>
      </c>
      <c r="P503">
        <v>1</v>
      </c>
      <c r="Q503">
        <v>0</v>
      </c>
      <c r="R503">
        <v>0</v>
      </c>
      <c r="S503">
        <v>0</v>
      </c>
      <c r="T503" t="s">
        <v>34</v>
      </c>
      <c r="U503">
        <v>79</v>
      </c>
      <c r="W503">
        <v>12</v>
      </c>
    </row>
    <row r="504" spans="1:25">
      <c r="A504" s="1" t="s">
        <v>573</v>
      </c>
      <c r="B504" t="s">
        <v>70</v>
      </c>
      <c r="C504" t="s">
        <v>71</v>
      </c>
      <c r="D504" t="s">
        <v>73</v>
      </c>
      <c r="E504" t="s">
        <v>54</v>
      </c>
      <c r="F504" t="s">
        <v>38</v>
      </c>
      <c r="G504" t="s">
        <v>55</v>
      </c>
      <c r="H504" t="s">
        <v>32</v>
      </c>
      <c r="I504" t="s">
        <v>41</v>
      </c>
      <c r="J504" s="2">
        <v>45181</v>
      </c>
      <c r="K504" s="2">
        <v>45186</v>
      </c>
      <c r="L504" s="2">
        <v>45193</v>
      </c>
      <c r="M504" s="2">
        <v>45198</v>
      </c>
      <c r="N504" s="2">
        <v>45203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74</v>
      </c>
      <c r="U504">
        <v>46</v>
      </c>
      <c r="W504">
        <v>3</v>
      </c>
    </row>
    <row r="505" spans="1:25">
      <c r="A505" s="1" t="s">
        <v>574</v>
      </c>
      <c r="B505" t="s">
        <v>58</v>
      </c>
      <c r="C505" t="s">
        <v>37</v>
      </c>
      <c r="D505" t="s">
        <v>52</v>
      </c>
      <c r="E505" t="s">
        <v>63</v>
      </c>
      <c r="F505" t="s">
        <v>38</v>
      </c>
      <c r="G505" t="s">
        <v>31</v>
      </c>
      <c r="H505" t="s">
        <v>56</v>
      </c>
      <c r="I505" t="s">
        <v>33</v>
      </c>
      <c r="J505" s="2">
        <v>45291</v>
      </c>
      <c r="K505" s="2">
        <v>45292</v>
      </c>
      <c r="L505" s="2">
        <v>45300</v>
      </c>
      <c r="M505" s="2">
        <v>45305</v>
      </c>
      <c r="N505" s="2">
        <v>45312</v>
      </c>
      <c r="O505">
        <v>1</v>
      </c>
      <c r="P505">
        <v>1</v>
      </c>
      <c r="Q505">
        <v>1</v>
      </c>
      <c r="R505">
        <v>1</v>
      </c>
      <c r="S505">
        <v>0</v>
      </c>
      <c r="T505" t="s">
        <v>61</v>
      </c>
      <c r="U505">
        <v>60</v>
      </c>
      <c r="V505">
        <v>21</v>
      </c>
      <c r="W505">
        <v>2</v>
      </c>
      <c r="X505">
        <v>742928</v>
      </c>
    </row>
    <row r="506" spans="1:25">
      <c r="A506" s="1" t="s">
        <v>575</v>
      </c>
      <c r="B506" t="s">
        <v>58</v>
      </c>
      <c r="C506" t="s">
        <v>27</v>
      </c>
      <c r="D506" t="s">
        <v>73</v>
      </c>
      <c r="E506" t="s">
        <v>63</v>
      </c>
      <c r="F506" t="s">
        <v>67</v>
      </c>
      <c r="G506" t="s">
        <v>55</v>
      </c>
      <c r="H506" t="s">
        <v>40</v>
      </c>
      <c r="I506" t="s">
        <v>33</v>
      </c>
      <c r="J506" s="2">
        <v>44959</v>
      </c>
      <c r="K506" s="2">
        <v>44960</v>
      </c>
      <c r="L506" s="2">
        <v>44964</v>
      </c>
      <c r="M506" s="2">
        <v>44970</v>
      </c>
      <c r="N506" s="2">
        <v>44974</v>
      </c>
      <c r="O506">
        <v>1</v>
      </c>
      <c r="P506">
        <v>1</v>
      </c>
      <c r="Q506">
        <v>0</v>
      </c>
      <c r="R506">
        <v>0</v>
      </c>
      <c r="S506">
        <v>0</v>
      </c>
      <c r="T506" t="s">
        <v>34</v>
      </c>
      <c r="U506">
        <v>81</v>
      </c>
      <c r="W506">
        <v>1</v>
      </c>
    </row>
    <row r="507" spans="1:25">
      <c r="A507" s="1" t="s">
        <v>576</v>
      </c>
      <c r="B507" t="s">
        <v>70</v>
      </c>
      <c r="C507" t="s">
        <v>27</v>
      </c>
      <c r="D507" t="s">
        <v>73</v>
      </c>
      <c r="E507" t="s">
        <v>63</v>
      </c>
      <c r="F507" t="s">
        <v>76</v>
      </c>
      <c r="G507" t="s">
        <v>45</v>
      </c>
      <c r="H507" t="s">
        <v>32</v>
      </c>
      <c r="I507" t="s">
        <v>33</v>
      </c>
      <c r="J507" s="2">
        <v>44958</v>
      </c>
      <c r="K507" s="2">
        <v>44961</v>
      </c>
      <c r="L507" s="2">
        <v>44964</v>
      </c>
      <c r="M507" s="2">
        <v>44971</v>
      </c>
      <c r="N507" s="2">
        <v>44987</v>
      </c>
      <c r="O507">
        <v>1</v>
      </c>
      <c r="P507">
        <v>1</v>
      </c>
      <c r="Q507">
        <v>1</v>
      </c>
      <c r="R507">
        <v>0</v>
      </c>
      <c r="S507">
        <v>0</v>
      </c>
      <c r="T507" t="s">
        <v>49</v>
      </c>
      <c r="U507">
        <v>74</v>
      </c>
      <c r="W507">
        <v>2</v>
      </c>
      <c r="X507">
        <v>411843</v>
      </c>
      <c r="Y507" t="s">
        <v>127</v>
      </c>
    </row>
    <row r="508" spans="1:25">
      <c r="A508" s="1" t="s">
        <v>577</v>
      </c>
      <c r="B508" t="s">
        <v>70</v>
      </c>
      <c r="C508" t="s">
        <v>71</v>
      </c>
      <c r="D508" t="s">
        <v>59</v>
      </c>
      <c r="E508" t="s">
        <v>63</v>
      </c>
      <c r="F508" t="s">
        <v>30</v>
      </c>
      <c r="G508" t="s">
        <v>60</v>
      </c>
      <c r="H508" t="s">
        <v>56</v>
      </c>
      <c r="I508" t="s">
        <v>33</v>
      </c>
      <c r="J508" s="2">
        <v>44989</v>
      </c>
      <c r="K508" s="2">
        <v>44994</v>
      </c>
      <c r="L508" s="2">
        <v>44997</v>
      </c>
      <c r="M508" s="2">
        <v>45000</v>
      </c>
      <c r="N508" s="2">
        <v>45018</v>
      </c>
      <c r="O508">
        <v>1</v>
      </c>
      <c r="P508">
        <v>1</v>
      </c>
      <c r="Q508">
        <v>0</v>
      </c>
      <c r="R508">
        <v>0</v>
      </c>
      <c r="S508">
        <v>0</v>
      </c>
      <c r="T508" t="s">
        <v>34</v>
      </c>
      <c r="U508">
        <v>53</v>
      </c>
      <c r="W508">
        <v>7</v>
      </c>
    </row>
    <row r="509" spans="1:25">
      <c r="A509" s="1" t="s">
        <v>578</v>
      </c>
      <c r="B509" t="s">
        <v>70</v>
      </c>
      <c r="C509" t="s">
        <v>27</v>
      </c>
      <c r="D509" t="s">
        <v>73</v>
      </c>
      <c r="E509" t="s">
        <v>29</v>
      </c>
      <c r="F509" t="s">
        <v>30</v>
      </c>
      <c r="G509" t="s">
        <v>55</v>
      </c>
      <c r="H509" t="s">
        <v>56</v>
      </c>
      <c r="I509" t="s">
        <v>41</v>
      </c>
      <c r="J509" s="2">
        <v>45417</v>
      </c>
      <c r="K509" s="2">
        <v>45420</v>
      </c>
      <c r="L509" s="2">
        <v>45426</v>
      </c>
      <c r="M509" s="2">
        <v>45429</v>
      </c>
      <c r="N509" s="2">
        <v>45439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74</v>
      </c>
      <c r="U509">
        <v>93</v>
      </c>
      <c r="W509">
        <v>0</v>
      </c>
    </row>
    <row r="510" spans="1:25">
      <c r="A510" s="1" t="s">
        <v>579</v>
      </c>
      <c r="B510" t="s">
        <v>36</v>
      </c>
      <c r="C510" t="s">
        <v>78</v>
      </c>
      <c r="D510" t="s">
        <v>59</v>
      </c>
      <c r="E510" t="s">
        <v>102</v>
      </c>
      <c r="F510" t="s">
        <v>64</v>
      </c>
      <c r="G510" t="s">
        <v>45</v>
      </c>
      <c r="H510" t="s">
        <v>40</v>
      </c>
      <c r="I510" t="s">
        <v>33</v>
      </c>
      <c r="J510" s="2">
        <v>45424</v>
      </c>
      <c r="K510" s="2">
        <v>45425</v>
      </c>
      <c r="L510" s="2">
        <v>45431</v>
      </c>
      <c r="M510" s="2">
        <v>45437</v>
      </c>
      <c r="N510" s="2">
        <v>45448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74</v>
      </c>
      <c r="U510">
        <v>48</v>
      </c>
      <c r="W510">
        <v>7</v>
      </c>
    </row>
    <row r="511" spans="1:25">
      <c r="A511" s="1" t="s">
        <v>580</v>
      </c>
      <c r="B511" t="s">
        <v>26</v>
      </c>
      <c r="C511" t="s">
        <v>78</v>
      </c>
      <c r="D511" t="s">
        <v>52</v>
      </c>
      <c r="E511" t="s">
        <v>102</v>
      </c>
      <c r="F511" t="s">
        <v>64</v>
      </c>
      <c r="G511" t="s">
        <v>55</v>
      </c>
      <c r="H511" t="s">
        <v>40</v>
      </c>
      <c r="I511" t="s">
        <v>41</v>
      </c>
      <c r="J511" s="2">
        <v>44935</v>
      </c>
      <c r="K511" s="2">
        <v>44937</v>
      </c>
      <c r="L511" s="2">
        <v>44945</v>
      </c>
      <c r="M511" s="2">
        <v>44950</v>
      </c>
      <c r="N511" s="2">
        <v>44955</v>
      </c>
      <c r="O511">
        <v>1</v>
      </c>
      <c r="P511">
        <v>1</v>
      </c>
      <c r="Q511">
        <v>1</v>
      </c>
      <c r="R511">
        <v>1</v>
      </c>
      <c r="S511">
        <v>0</v>
      </c>
      <c r="T511" t="s">
        <v>61</v>
      </c>
      <c r="U511">
        <v>84</v>
      </c>
      <c r="V511">
        <v>20</v>
      </c>
      <c r="W511">
        <v>10</v>
      </c>
      <c r="X511">
        <v>1702491</v>
      </c>
    </row>
    <row r="512" spans="1:25">
      <c r="A512" s="1" t="s">
        <v>581</v>
      </c>
      <c r="B512" t="s">
        <v>90</v>
      </c>
      <c r="C512" t="s">
        <v>71</v>
      </c>
      <c r="D512" t="s">
        <v>73</v>
      </c>
      <c r="E512" t="s">
        <v>29</v>
      </c>
      <c r="F512" t="s">
        <v>64</v>
      </c>
      <c r="G512" t="s">
        <v>55</v>
      </c>
      <c r="H512" t="s">
        <v>56</v>
      </c>
      <c r="I512" t="s">
        <v>41</v>
      </c>
      <c r="J512" s="2">
        <v>45367</v>
      </c>
      <c r="K512" s="2">
        <v>45370</v>
      </c>
      <c r="L512" s="2">
        <v>45373</v>
      </c>
      <c r="M512" s="2">
        <v>45376</v>
      </c>
      <c r="N512" s="2">
        <v>45402</v>
      </c>
      <c r="O512">
        <v>1</v>
      </c>
      <c r="P512">
        <v>0</v>
      </c>
      <c r="Q512">
        <v>0</v>
      </c>
      <c r="R512">
        <v>0</v>
      </c>
      <c r="S512">
        <v>0</v>
      </c>
      <c r="T512" t="s">
        <v>34</v>
      </c>
      <c r="U512">
        <v>52</v>
      </c>
      <c r="W512">
        <v>5</v>
      </c>
    </row>
    <row r="513" spans="1:25">
      <c r="A513" s="1" t="s">
        <v>582</v>
      </c>
      <c r="B513" t="s">
        <v>36</v>
      </c>
      <c r="C513" t="s">
        <v>78</v>
      </c>
      <c r="D513" t="s">
        <v>59</v>
      </c>
      <c r="E513" t="s">
        <v>54</v>
      </c>
      <c r="F513" t="s">
        <v>64</v>
      </c>
      <c r="G513" t="s">
        <v>45</v>
      </c>
      <c r="H513" t="s">
        <v>32</v>
      </c>
      <c r="I513" t="s">
        <v>41</v>
      </c>
      <c r="J513" s="2">
        <v>45447</v>
      </c>
      <c r="K513" s="2">
        <v>45449</v>
      </c>
      <c r="L513" s="2">
        <v>45456</v>
      </c>
      <c r="M513" s="2">
        <v>45461</v>
      </c>
      <c r="N513" s="2">
        <v>45469</v>
      </c>
      <c r="O513">
        <v>1</v>
      </c>
      <c r="P513">
        <v>1</v>
      </c>
      <c r="Q513">
        <v>1</v>
      </c>
      <c r="R513">
        <v>1</v>
      </c>
      <c r="S513">
        <v>0</v>
      </c>
      <c r="T513" t="s">
        <v>61</v>
      </c>
      <c r="U513">
        <v>75</v>
      </c>
      <c r="V513">
        <v>22</v>
      </c>
      <c r="W513">
        <v>8</v>
      </c>
      <c r="X513">
        <v>1768356</v>
      </c>
    </row>
    <row r="514" spans="1:25">
      <c r="A514" s="1" t="s">
        <v>583</v>
      </c>
      <c r="B514" t="s">
        <v>70</v>
      </c>
      <c r="C514" t="s">
        <v>47</v>
      </c>
      <c r="D514" t="s">
        <v>59</v>
      </c>
      <c r="E514" t="s">
        <v>102</v>
      </c>
      <c r="F514" t="s">
        <v>30</v>
      </c>
      <c r="G514" t="s">
        <v>45</v>
      </c>
      <c r="H514" t="s">
        <v>32</v>
      </c>
      <c r="I514" t="s">
        <v>41</v>
      </c>
      <c r="J514" s="2">
        <v>45211</v>
      </c>
      <c r="K514" s="2">
        <v>45216</v>
      </c>
      <c r="L514" s="2">
        <v>45224</v>
      </c>
      <c r="M514" s="2">
        <v>45226</v>
      </c>
      <c r="N514" s="2">
        <v>45237</v>
      </c>
      <c r="O514">
        <v>1</v>
      </c>
      <c r="P514">
        <v>0</v>
      </c>
      <c r="Q514">
        <v>0</v>
      </c>
      <c r="R514">
        <v>0</v>
      </c>
      <c r="S514">
        <v>0</v>
      </c>
      <c r="T514" t="s">
        <v>34</v>
      </c>
      <c r="U514">
        <v>49</v>
      </c>
      <c r="W514">
        <v>14</v>
      </c>
    </row>
    <row r="515" spans="1:25">
      <c r="A515" s="1" t="s">
        <v>584</v>
      </c>
      <c r="B515" t="s">
        <v>43</v>
      </c>
      <c r="C515" t="s">
        <v>78</v>
      </c>
      <c r="D515" t="s">
        <v>44</v>
      </c>
      <c r="E515" t="s">
        <v>29</v>
      </c>
      <c r="F515" t="s">
        <v>38</v>
      </c>
      <c r="G515" t="s">
        <v>45</v>
      </c>
      <c r="H515" t="s">
        <v>56</v>
      </c>
      <c r="I515" t="s">
        <v>33</v>
      </c>
      <c r="J515" s="2">
        <v>45301</v>
      </c>
      <c r="K515" s="2">
        <v>45304</v>
      </c>
      <c r="L515" s="2">
        <v>45309</v>
      </c>
      <c r="M515" s="2">
        <v>45314</v>
      </c>
      <c r="N515" s="2">
        <v>45318</v>
      </c>
      <c r="O515">
        <v>1</v>
      </c>
      <c r="P515">
        <v>0</v>
      </c>
      <c r="Q515">
        <v>0</v>
      </c>
      <c r="R515">
        <v>0</v>
      </c>
      <c r="S515">
        <v>0</v>
      </c>
      <c r="T515" t="s">
        <v>34</v>
      </c>
      <c r="U515">
        <v>65</v>
      </c>
      <c r="W515">
        <v>6</v>
      </c>
    </row>
    <row r="516" spans="1:25">
      <c r="A516" s="1" t="s">
        <v>585</v>
      </c>
      <c r="B516" t="s">
        <v>36</v>
      </c>
      <c r="C516" t="s">
        <v>71</v>
      </c>
      <c r="D516" t="s">
        <v>44</v>
      </c>
      <c r="E516" t="s">
        <v>66</v>
      </c>
      <c r="F516" t="s">
        <v>30</v>
      </c>
      <c r="G516" t="s">
        <v>31</v>
      </c>
      <c r="H516" t="s">
        <v>40</v>
      </c>
      <c r="I516" t="s">
        <v>41</v>
      </c>
      <c r="J516" s="2">
        <v>45420</v>
      </c>
      <c r="K516" s="2">
        <v>45425</v>
      </c>
      <c r="L516" s="2">
        <v>45434</v>
      </c>
      <c r="M516" s="2">
        <v>45440</v>
      </c>
      <c r="N516" s="2">
        <v>45436</v>
      </c>
      <c r="O516">
        <v>1</v>
      </c>
      <c r="P516">
        <v>1</v>
      </c>
      <c r="Q516">
        <v>1</v>
      </c>
      <c r="R516">
        <v>0</v>
      </c>
      <c r="S516">
        <v>0</v>
      </c>
      <c r="T516" t="s">
        <v>49</v>
      </c>
      <c r="U516">
        <v>83</v>
      </c>
      <c r="W516">
        <v>5</v>
      </c>
      <c r="X516">
        <v>898291</v>
      </c>
      <c r="Y516" t="s">
        <v>80</v>
      </c>
    </row>
    <row r="517" spans="1:25">
      <c r="A517" s="1" t="s">
        <v>586</v>
      </c>
      <c r="B517" t="s">
        <v>26</v>
      </c>
      <c r="C517" t="s">
        <v>27</v>
      </c>
      <c r="D517" t="s">
        <v>28</v>
      </c>
      <c r="E517" t="s">
        <v>66</v>
      </c>
      <c r="F517" t="s">
        <v>64</v>
      </c>
      <c r="G517" t="s">
        <v>45</v>
      </c>
      <c r="H517" t="s">
        <v>56</v>
      </c>
      <c r="I517" t="s">
        <v>41</v>
      </c>
      <c r="J517" s="2">
        <v>45211</v>
      </c>
      <c r="K517" s="2">
        <v>45215</v>
      </c>
      <c r="L517" s="2">
        <v>45222</v>
      </c>
      <c r="M517" s="2">
        <v>45224</v>
      </c>
      <c r="N517" s="2">
        <v>45231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74</v>
      </c>
      <c r="U517">
        <v>55</v>
      </c>
      <c r="W517">
        <v>2</v>
      </c>
    </row>
    <row r="518" spans="1:25">
      <c r="A518" s="1" t="s">
        <v>587</v>
      </c>
      <c r="B518" t="s">
        <v>70</v>
      </c>
      <c r="C518" t="s">
        <v>78</v>
      </c>
      <c r="D518" t="s">
        <v>44</v>
      </c>
      <c r="E518" t="s">
        <v>29</v>
      </c>
      <c r="F518" t="s">
        <v>64</v>
      </c>
      <c r="G518" t="s">
        <v>31</v>
      </c>
      <c r="H518" t="s">
        <v>56</v>
      </c>
      <c r="I518" t="s">
        <v>33</v>
      </c>
      <c r="J518" s="2">
        <v>45403</v>
      </c>
      <c r="K518" s="2">
        <v>45408</v>
      </c>
      <c r="L518" s="2">
        <v>45413</v>
      </c>
      <c r="M518" s="2">
        <v>45419</v>
      </c>
      <c r="N518" s="2">
        <v>45427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74</v>
      </c>
      <c r="U518">
        <v>74</v>
      </c>
      <c r="W518">
        <v>7</v>
      </c>
    </row>
    <row r="519" spans="1:25">
      <c r="A519" s="1" t="s">
        <v>588</v>
      </c>
      <c r="B519" t="s">
        <v>26</v>
      </c>
      <c r="C519" t="s">
        <v>37</v>
      </c>
      <c r="D519" t="s">
        <v>44</v>
      </c>
      <c r="E519" t="s">
        <v>54</v>
      </c>
      <c r="F519" t="s">
        <v>48</v>
      </c>
      <c r="G519" t="s">
        <v>55</v>
      </c>
      <c r="H519" t="s">
        <v>40</v>
      </c>
      <c r="I519" t="s">
        <v>41</v>
      </c>
      <c r="J519" s="2">
        <v>45200</v>
      </c>
      <c r="K519" s="2">
        <v>45205</v>
      </c>
      <c r="L519" s="2">
        <v>45210</v>
      </c>
      <c r="M519" s="2">
        <v>45217</v>
      </c>
      <c r="N519" s="2">
        <v>45219</v>
      </c>
      <c r="O519">
        <v>1</v>
      </c>
      <c r="P519">
        <v>1</v>
      </c>
      <c r="Q519">
        <v>0</v>
      </c>
      <c r="R519">
        <v>0</v>
      </c>
      <c r="S519">
        <v>0</v>
      </c>
      <c r="T519" t="s">
        <v>34</v>
      </c>
      <c r="U519">
        <v>81</v>
      </c>
      <c r="W519">
        <v>1</v>
      </c>
    </row>
    <row r="520" spans="1:25">
      <c r="A520" s="1" t="s">
        <v>589</v>
      </c>
      <c r="B520" t="s">
        <v>43</v>
      </c>
      <c r="C520" t="s">
        <v>78</v>
      </c>
      <c r="D520" t="s">
        <v>59</v>
      </c>
      <c r="E520" t="s">
        <v>102</v>
      </c>
      <c r="F520" t="s">
        <v>76</v>
      </c>
      <c r="G520" t="s">
        <v>39</v>
      </c>
      <c r="H520" t="s">
        <v>56</v>
      </c>
      <c r="I520" t="s">
        <v>41</v>
      </c>
      <c r="J520" s="2">
        <v>45300</v>
      </c>
      <c r="K520" s="2">
        <v>45301</v>
      </c>
      <c r="L520" s="2">
        <v>45305</v>
      </c>
      <c r="M520" s="2">
        <v>45311</v>
      </c>
      <c r="N520" s="2">
        <v>45320</v>
      </c>
      <c r="O520">
        <v>1</v>
      </c>
      <c r="P520">
        <v>1</v>
      </c>
      <c r="Q520">
        <v>1</v>
      </c>
      <c r="R520">
        <v>0</v>
      </c>
      <c r="S520">
        <v>0</v>
      </c>
      <c r="T520" t="s">
        <v>49</v>
      </c>
      <c r="U520">
        <v>78</v>
      </c>
      <c r="W520">
        <v>6</v>
      </c>
      <c r="X520">
        <v>1877837</v>
      </c>
      <c r="Y520" t="s">
        <v>68</v>
      </c>
    </row>
    <row r="521" spans="1:25">
      <c r="A521" s="1" t="s">
        <v>590</v>
      </c>
      <c r="B521" t="s">
        <v>90</v>
      </c>
      <c r="C521" t="s">
        <v>78</v>
      </c>
      <c r="D521" t="s">
        <v>59</v>
      </c>
      <c r="E521" t="s">
        <v>29</v>
      </c>
      <c r="F521" t="s">
        <v>30</v>
      </c>
      <c r="G521" t="s">
        <v>60</v>
      </c>
      <c r="H521" t="s">
        <v>40</v>
      </c>
      <c r="I521" t="s">
        <v>41</v>
      </c>
      <c r="J521" s="2">
        <v>45089</v>
      </c>
      <c r="K521" s="2">
        <v>45093</v>
      </c>
      <c r="L521" s="2">
        <v>45099</v>
      </c>
      <c r="M521" s="2">
        <v>45101</v>
      </c>
      <c r="N521" s="2">
        <v>45123</v>
      </c>
      <c r="O521">
        <v>1</v>
      </c>
      <c r="P521">
        <v>1</v>
      </c>
      <c r="Q521">
        <v>1</v>
      </c>
      <c r="R521">
        <v>1</v>
      </c>
      <c r="S521">
        <v>0</v>
      </c>
      <c r="T521" t="s">
        <v>61</v>
      </c>
      <c r="U521">
        <v>86</v>
      </c>
      <c r="V521">
        <v>34</v>
      </c>
      <c r="W521">
        <v>6</v>
      </c>
      <c r="X521">
        <v>2054354</v>
      </c>
    </row>
    <row r="522" spans="1:25">
      <c r="A522" s="1" t="s">
        <v>591</v>
      </c>
      <c r="B522" t="s">
        <v>70</v>
      </c>
      <c r="C522" t="s">
        <v>47</v>
      </c>
      <c r="D522" t="s">
        <v>52</v>
      </c>
      <c r="E522" t="s">
        <v>54</v>
      </c>
      <c r="F522" t="s">
        <v>48</v>
      </c>
      <c r="G522" t="s">
        <v>39</v>
      </c>
      <c r="H522" t="s">
        <v>32</v>
      </c>
      <c r="I522" t="s">
        <v>41</v>
      </c>
      <c r="J522" s="2">
        <v>45100</v>
      </c>
      <c r="K522" s="2">
        <v>45102</v>
      </c>
      <c r="L522" s="2">
        <v>45109</v>
      </c>
      <c r="M522" s="2">
        <v>45116</v>
      </c>
      <c r="N522" s="2">
        <v>45134</v>
      </c>
      <c r="O522">
        <v>1</v>
      </c>
      <c r="P522">
        <v>0</v>
      </c>
      <c r="Q522">
        <v>0</v>
      </c>
      <c r="R522">
        <v>0</v>
      </c>
      <c r="S522">
        <v>0</v>
      </c>
      <c r="T522" t="s">
        <v>34</v>
      </c>
      <c r="U522">
        <v>63</v>
      </c>
      <c r="W522">
        <v>12</v>
      </c>
    </row>
    <row r="523" spans="1:25">
      <c r="A523" s="1" t="s">
        <v>592</v>
      </c>
      <c r="B523" t="s">
        <v>36</v>
      </c>
      <c r="C523" t="s">
        <v>47</v>
      </c>
      <c r="D523" t="s">
        <v>44</v>
      </c>
      <c r="E523" t="s">
        <v>63</v>
      </c>
      <c r="F523" t="s">
        <v>64</v>
      </c>
      <c r="G523" t="s">
        <v>60</v>
      </c>
      <c r="H523" t="s">
        <v>32</v>
      </c>
      <c r="I523" t="s">
        <v>33</v>
      </c>
      <c r="J523" s="2">
        <v>45107</v>
      </c>
      <c r="K523" s="2">
        <v>45109</v>
      </c>
      <c r="L523" s="2">
        <v>45113</v>
      </c>
      <c r="M523" s="2">
        <v>45115</v>
      </c>
      <c r="N523" s="2">
        <v>45135</v>
      </c>
      <c r="O523">
        <v>1</v>
      </c>
      <c r="P523">
        <v>1</v>
      </c>
      <c r="Q523">
        <v>1</v>
      </c>
      <c r="R523">
        <v>1</v>
      </c>
      <c r="S523">
        <v>0</v>
      </c>
      <c r="T523" t="s">
        <v>61</v>
      </c>
      <c r="U523">
        <v>77</v>
      </c>
      <c r="V523">
        <v>28</v>
      </c>
      <c r="W523">
        <v>15</v>
      </c>
      <c r="X523">
        <v>2729154</v>
      </c>
    </row>
    <row r="524" spans="1:25">
      <c r="A524" s="1" t="s">
        <v>593</v>
      </c>
      <c r="B524" t="s">
        <v>70</v>
      </c>
      <c r="C524" t="s">
        <v>78</v>
      </c>
      <c r="D524" t="s">
        <v>44</v>
      </c>
      <c r="E524" t="s">
        <v>54</v>
      </c>
      <c r="F524" t="s">
        <v>76</v>
      </c>
      <c r="G524" t="s">
        <v>55</v>
      </c>
      <c r="H524" t="s">
        <v>40</v>
      </c>
      <c r="I524" t="s">
        <v>41</v>
      </c>
      <c r="J524" s="2">
        <v>45125</v>
      </c>
      <c r="K524" s="2">
        <v>45127</v>
      </c>
      <c r="L524" s="2">
        <v>45135</v>
      </c>
      <c r="M524" s="2">
        <v>45139</v>
      </c>
      <c r="N524" s="2">
        <v>45163</v>
      </c>
      <c r="O524">
        <v>0</v>
      </c>
      <c r="P524">
        <v>0</v>
      </c>
      <c r="Q524">
        <v>0</v>
      </c>
      <c r="R524">
        <v>0</v>
      </c>
      <c r="S524">
        <v>1</v>
      </c>
      <c r="T524" t="s">
        <v>74</v>
      </c>
      <c r="U524">
        <v>92</v>
      </c>
      <c r="W524">
        <v>9</v>
      </c>
    </row>
    <row r="525" spans="1:25">
      <c r="A525" s="1" t="s">
        <v>594</v>
      </c>
      <c r="B525" t="s">
        <v>26</v>
      </c>
      <c r="C525" t="s">
        <v>47</v>
      </c>
      <c r="D525" t="s">
        <v>44</v>
      </c>
      <c r="E525" t="s">
        <v>63</v>
      </c>
      <c r="F525" t="s">
        <v>67</v>
      </c>
      <c r="G525" t="s">
        <v>55</v>
      </c>
      <c r="H525" t="s">
        <v>56</v>
      </c>
      <c r="I525" t="s">
        <v>41</v>
      </c>
      <c r="J525" s="2">
        <v>44980</v>
      </c>
      <c r="K525" s="2">
        <v>44983</v>
      </c>
      <c r="L525" s="2">
        <v>44993</v>
      </c>
      <c r="M525" s="2">
        <v>44995</v>
      </c>
      <c r="N525" s="2">
        <v>44994</v>
      </c>
      <c r="O525">
        <v>1</v>
      </c>
      <c r="P525">
        <v>1</v>
      </c>
      <c r="Q525">
        <v>1</v>
      </c>
      <c r="R525">
        <v>0</v>
      </c>
      <c r="S525">
        <v>1</v>
      </c>
      <c r="T525" t="s">
        <v>49</v>
      </c>
      <c r="U525">
        <v>82</v>
      </c>
      <c r="W525">
        <v>12</v>
      </c>
      <c r="X525">
        <v>3195148</v>
      </c>
      <c r="Y525" t="s">
        <v>80</v>
      </c>
    </row>
    <row r="526" spans="1:25">
      <c r="A526" s="1" t="s">
        <v>595</v>
      </c>
      <c r="B526" t="s">
        <v>70</v>
      </c>
      <c r="C526" t="s">
        <v>78</v>
      </c>
      <c r="D526" t="s">
        <v>44</v>
      </c>
      <c r="E526" t="s">
        <v>29</v>
      </c>
      <c r="F526" t="s">
        <v>38</v>
      </c>
      <c r="G526" t="s">
        <v>31</v>
      </c>
      <c r="H526" t="s">
        <v>40</v>
      </c>
      <c r="I526" t="s">
        <v>33</v>
      </c>
      <c r="J526" s="2">
        <v>45244</v>
      </c>
      <c r="K526" s="2">
        <v>45245</v>
      </c>
      <c r="L526" s="2">
        <v>45253</v>
      </c>
      <c r="M526" s="2">
        <v>45260</v>
      </c>
      <c r="N526" s="2">
        <v>45269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74</v>
      </c>
      <c r="U526">
        <v>52</v>
      </c>
      <c r="W526">
        <v>6</v>
      </c>
    </row>
    <row r="527" spans="1:25">
      <c r="A527" s="1" t="s">
        <v>596</v>
      </c>
      <c r="B527" t="s">
        <v>70</v>
      </c>
      <c r="C527" t="s">
        <v>78</v>
      </c>
      <c r="D527" t="s">
        <v>28</v>
      </c>
      <c r="E527" t="s">
        <v>54</v>
      </c>
      <c r="F527" t="s">
        <v>30</v>
      </c>
      <c r="G527" t="s">
        <v>55</v>
      </c>
      <c r="H527" t="s">
        <v>56</v>
      </c>
      <c r="I527" t="s">
        <v>41</v>
      </c>
      <c r="J527" s="2">
        <v>45237</v>
      </c>
      <c r="K527" s="2">
        <v>45241</v>
      </c>
      <c r="L527" s="2">
        <v>45247</v>
      </c>
      <c r="M527" s="2">
        <v>45253</v>
      </c>
      <c r="N527" s="2">
        <v>45268</v>
      </c>
      <c r="O527">
        <v>0</v>
      </c>
      <c r="P527">
        <v>0</v>
      </c>
      <c r="Q527">
        <v>0</v>
      </c>
      <c r="R527">
        <v>0</v>
      </c>
      <c r="S527">
        <v>1</v>
      </c>
      <c r="T527" t="s">
        <v>74</v>
      </c>
      <c r="U527">
        <v>65</v>
      </c>
      <c r="W527">
        <v>8</v>
      </c>
    </row>
    <row r="528" spans="1:25">
      <c r="A528" s="1" t="s">
        <v>597</v>
      </c>
      <c r="B528" t="s">
        <v>58</v>
      </c>
      <c r="C528" t="s">
        <v>27</v>
      </c>
      <c r="D528" t="s">
        <v>73</v>
      </c>
      <c r="E528" t="s">
        <v>54</v>
      </c>
      <c r="F528" t="s">
        <v>38</v>
      </c>
      <c r="G528" t="s">
        <v>60</v>
      </c>
      <c r="H528" t="s">
        <v>32</v>
      </c>
      <c r="I528" t="s">
        <v>41</v>
      </c>
      <c r="J528" s="2">
        <v>45461</v>
      </c>
      <c r="K528" s="2">
        <v>45462</v>
      </c>
      <c r="L528" s="2">
        <v>45469</v>
      </c>
      <c r="M528" s="2">
        <v>45476</v>
      </c>
      <c r="N528" s="2">
        <v>45479</v>
      </c>
      <c r="O528">
        <v>1</v>
      </c>
      <c r="P528">
        <v>0</v>
      </c>
      <c r="Q528">
        <v>0</v>
      </c>
      <c r="R528">
        <v>0</v>
      </c>
      <c r="S528">
        <v>0</v>
      </c>
      <c r="T528" t="s">
        <v>34</v>
      </c>
      <c r="U528">
        <v>55</v>
      </c>
      <c r="W528">
        <v>0</v>
      </c>
    </row>
    <row r="529" spans="1:25">
      <c r="A529" s="1" t="s">
        <v>598</v>
      </c>
      <c r="B529" t="s">
        <v>43</v>
      </c>
      <c r="C529" t="s">
        <v>71</v>
      </c>
      <c r="D529" t="s">
        <v>28</v>
      </c>
      <c r="E529" t="s">
        <v>29</v>
      </c>
      <c r="F529" t="s">
        <v>64</v>
      </c>
      <c r="G529" t="s">
        <v>31</v>
      </c>
      <c r="H529" t="s">
        <v>32</v>
      </c>
      <c r="I529" t="s">
        <v>41</v>
      </c>
      <c r="J529" s="2">
        <v>45439</v>
      </c>
      <c r="K529" s="2">
        <v>45440</v>
      </c>
      <c r="L529" s="2">
        <v>45446</v>
      </c>
      <c r="M529" s="2">
        <v>45451</v>
      </c>
      <c r="N529" s="2">
        <v>45463</v>
      </c>
      <c r="O529">
        <v>1</v>
      </c>
      <c r="P529">
        <v>1</v>
      </c>
      <c r="Q529">
        <v>1</v>
      </c>
      <c r="R529">
        <v>0</v>
      </c>
      <c r="S529">
        <v>1</v>
      </c>
      <c r="T529" t="s">
        <v>49</v>
      </c>
      <c r="U529">
        <v>49</v>
      </c>
      <c r="W529">
        <v>5</v>
      </c>
      <c r="X529">
        <v>838846</v>
      </c>
      <c r="Y529" t="s">
        <v>127</v>
      </c>
    </row>
    <row r="530" spans="1:25">
      <c r="A530" s="1" t="s">
        <v>599</v>
      </c>
      <c r="B530" t="s">
        <v>43</v>
      </c>
      <c r="C530" t="s">
        <v>71</v>
      </c>
      <c r="D530" t="s">
        <v>44</v>
      </c>
      <c r="E530" t="s">
        <v>29</v>
      </c>
      <c r="F530" t="s">
        <v>67</v>
      </c>
      <c r="G530" t="s">
        <v>60</v>
      </c>
      <c r="H530" t="s">
        <v>32</v>
      </c>
      <c r="I530" t="s">
        <v>41</v>
      </c>
      <c r="J530" s="2">
        <v>45099</v>
      </c>
      <c r="K530" s="2">
        <v>45100</v>
      </c>
      <c r="L530" s="2">
        <v>45109</v>
      </c>
      <c r="M530" s="2">
        <v>45112</v>
      </c>
      <c r="N530" s="2">
        <v>45125</v>
      </c>
      <c r="O530">
        <v>1</v>
      </c>
      <c r="P530">
        <v>1</v>
      </c>
      <c r="Q530">
        <v>1</v>
      </c>
      <c r="R530">
        <v>0</v>
      </c>
      <c r="S530">
        <v>1</v>
      </c>
      <c r="T530" t="s">
        <v>49</v>
      </c>
      <c r="U530">
        <v>77</v>
      </c>
      <c r="W530">
        <v>3</v>
      </c>
      <c r="X530">
        <v>1167205</v>
      </c>
      <c r="Y530" t="s">
        <v>80</v>
      </c>
    </row>
    <row r="531" spans="1:25">
      <c r="A531" s="1" t="s">
        <v>600</v>
      </c>
      <c r="B531" t="s">
        <v>26</v>
      </c>
      <c r="C531" t="s">
        <v>47</v>
      </c>
      <c r="D531" t="s">
        <v>73</v>
      </c>
      <c r="E531" t="s">
        <v>29</v>
      </c>
      <c r="F531" t="s">
        <v>67</v>
      </c>
      <c r="G531" t="s">
        <v>31</v>
      </c>
      <c r="H531" t="s">
        <v>40</v>
      </c>
      <c r="I531" t="s">
        <v>33</v>
      </c>
      <c r="J531" s="2">
        <v>45045</v>
      </c>
      <c r="K531" s="2">
        <v>45046</v>
      </c>
      <c r="L531" s="2">
        <v>45055</v>
      </c>
      <c r="M531" s="2">
        <v>45057</v>
      </c>
      <c r="N531" s="2">
        <v>45070</v>
      </c>
      <c r="O531">
        <v>1</v>
      </c>
      <c r="P531">
        <v>1</v>
      </c>
      <c r="Q531">
        <v>1</v>
      </c>
      <c r="R531">
        <v>1</v>
      </c>
      <c r="S531">
        <v>0</v>
      </c>
      <c r="T531" t="s">
        <v>61</v>
      </c>
      <c r="U531">
        <v>69</v>
      </c>
      <c r="V531">
        <v>25</v>
      </c>
      <c r="W531">
        <v>14</v>
      </c>
      <c r="X531">
        <v>2799183</v>
      </c>
    </row>
    <row r="532" spans="1:25">
      <c r="A532" s="1" t="s">
        <v>601</v>
      </c>
      <c r="B532" t="s">
        <v>58</v>
      </c>
      <c r="C532" t="s">
        <v>47</v>
      </c>
      <c r="D532" t="s">
        <v>44</v>
      </c>
      <c r="E532" t="s">
        <v>102</v>
      </c>
      <c r="F532" t="s">
        <v>76</v>
      </c>
      <c r="G532" t="s">
        <v>39</v>
      </c>
      <c r="H532" t="s">
        <v>56</v>
      </c>
      <c r="I532" t="s">
        <v>33</v>
      </c>
      <c r="J532" s="2">
        <v>45329</v>
      </c>
      <c r="K532" s="2">
        <v>45334</v>
      </c>
      <c r="L532" s="2">
        <v>45343</v>
      </c>
      <c r="M532" s="2">
        <v>45349</v>
      </c>
      <c r="N532" s="2">
        <v>45346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74</v>
      </c>
      <c r="U532">
        <v>99</v>
      </c>
      <c r="W532">
        <v>14</v>
      </c>
    </row>
    <row r="533" spans="1:25">
      <c r="A533" s="1" t="s">
        <v>602</v>
      </c>
      <c r="B533" t="s">
        <v>26</v>
      </c>
      <c r="C533" t="s">
        <v>37</v>
      </c>
      <c r="D533" t="s">
        <v>59</v>
      </c>
      <c r="E533" t="s">
        <v>29</v>
      </c>
      <c r="F533" t="s">
        <v>30</v>
      </c>
      <c r="G533" t="s">
        <v>31</v>
      </c>
      <c r="H533" t="s">
        <v>32</v>
      </c>
      <c r="I533" t="s">
        <v>41</v>
      </c>
      <c r="J533" s="2">
        <v>45349</v>
      </c>
      <c r="K533" s="2">
        <v>45351</v>
      </c>
      <c r="L533" s="2">
        <v>45357</v>
      </c>
      <c r="M533" s="2">
        <v>45361</v>
      </c>
      <c r="N533" s="2">
        <v>45371</v>
      </c>
      <c r="O533">
        <v>1</v>
      </c>
      <c r="P533">
        <v>0</v>
      </c>
      <c r="Q533">
        <v>0</v>
      </c>
      <c r="R533">
        <v>0</v>
      </c>
      <c r="S533">
        <v>0</v>
      </c>
      <c r="T533" t="s">
        <v>34</v>
      </c>
      <c r="U533">
        <v>50</v>
      </c>
      <c r="W533">
        <v>4</v>
      </c>
    </row>
    <row r="534" spans="1:25">
      <c r="A534" s="1" t="s">
        <v>603</v>
      </c>
      <c r="B534" t="s">
        <v>70</v>
      </c>
      <c r="C534" t="s">
        <v>78</v>
      </c>
      <c r="D534" t="s">
        <v>44</v>
      </c>
      <c r="E534" t="s">
        <v>29</v>
      </c>
      <c r="F534" t="s">
        <v>76</v>
      </c>
      <c r="G534" t="s">
        <v>55</v>
      </c>
      <c r="H534" t="s">
        <v>40</v>
      </c>
      <c r="I534" t="s">
        <v>33</v>
      </c>
      <c r="J534" s="2">
        <v>45373</v>
      </c>
      <c r="K534" s="2">
        <v>45375</v>
      </c>
      <c r="L534" s="2">
        <v>45383</v>
      </c>
      <c r="M534" s="2">
        <v>45390</v>
      </c>
      <c r="N534" s="2">
        <v>45402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74</v>
      </c>
      <c r="U534">
        <v>63</v>
      </c>
      <c r="W534">
        <v>6</v>
      </c>
    </row>
    <row r="535" spans="1:25">
      <c r="A535" s="1" t="s">
        <v>604</v>
      </c>
      <c r="B535" t="s">
        <v>70</v>
      </c>
      <c r="C535" t="s">
        <v>37</v>
      </c>
      <c r="D535" t="s">
        <v>52</v>
      </c>
      <c r="E535" t="s">
        <v>63</v>
      </c>
      <c r="F535" t="s">
        <v>67</v>
      </c>
      <c r="G535" t="s">
        <v>60</v>
      </c>
      <c r="H535" t="s">
        <v>56</v>
      </c>
      <c r="I535" t="s">
        <v>41</v>
      </c>
      <c r="J535" s="2">
        <v>45276</v>
      </c>
      <c r="K535" s="2">
        <v>45281</v>
      </c>
      <c r="L535" s="2">
        <v>45287</v>
      </c>
      <c r="M535" s="2">
        <v>45289</v>
      </c>
      <c r="N535" s="2">
        <v>45314</v>
      </c>
      <c r="O535">
        <v>1</v>
      </c>
      <c r="P535">
        <v>0</v>
      </c>
      <c r="Q535">
        <v>0</v>
      </c>
      <c r="R535">
        <v>0</v>
      </c>
      <c r="S535">
        <v>0</v>
      </c>
      <c r="T535" t="s">
        <v>34</v>
      </c>
      <c r="U535">
        <v>68</v>
      </c>
      <c r="W535">
        <v>3</v>
      </c>
    </row>
    <row r="536" spans="1:25">
      <c r="A536" s="1" t="s">
        <v>605</v>
      </c>
      <c r="B536" t="s">
        <v>70</v>
      </c>
      <c r="C536" t="s">
        <v>47</v>
      </c>
      <c r="D536" t="s">
        <v>73</v>
      </c>
      <c r="E536" t="s">
        <v>29</v>
      </c>
      <c r="F536" t="s">
        <v>76</v>
      </c>
      <c r="G536" t="s">
        <v>55</v>
      </c>
      <c r="H536" t="s">
        <v>56</v>
      </c>
      <c r="I536" t="s">
        <v>33</v>
      </c>
      <c r="J536" s="2">
        <v>45405</v>
      </c>
      <c r="K536" s="2">
        <v>45406</v>
      </c>
      <c r="L536" s="2">
        <v>45409</v>
      </c>
      <c r="M536" s="2">
        <v>45415</v>
      </c>
      <c r="N536" s="2">
        <v>45444</v>
      </c>
      <c r="O536">
        <v>1</v>
      </c>
      <c r="P536">
        <v>1</v>
      </c>
      <c r="Q536">
        <v>1</v>
      </c>
      <c r="R536">
        <v>0</v>
      </c>
      <c r="S536">
        <v>0</v>
      </c>
      <c r="T536" t="s">
        <v>49</v>
      </c>
      <c r="U536">
        <v>49</v>
      </c>
      <c r="W536">
        <v>14</v>
      </c>
      <c r="X536">
        <v>2560972</v>
      </c>
      <c r="Y536" t="s">
        <v>50</v>
      </c>
    </row>
    <row r="537" spans="1:25">
      <c r="A537" s="1" t="s">
        <v>606</v>
      </c>
      <c r="B537" t="s">
        <v>36</v>
      </c>
      <c r="C537" t="s">
        <v>71</v>
      </c>
      <c r="D537" t="s">
        <v>44</v>
      </c>
      <c r="E537" t="s">
        <v>63</v>
      </c>
      <c r="F537" t="s">
        <v>30</v>
      </c>
      <c r="G537" t="s">
        <v>31</v>
      </c>
      <c r="H537" t="s">
        <v>56</v>
      </c>
      <c r="I537" t="s">
        <v>33</v>
      </c>
      <c r="J537" s="2">
        <v>45220</v>
      </c>
      <c r="K537" s="2">
        <v>45225</v>
      </c>
      <c r="L537" s="2">
        <v>45231</v>
      </c>
      <c r="M537" s="2">
        <v>45237</v>
      </c>
      <c r="N537" s="2">
        <v>45236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74</v>
      </c>
      <c r="U537">
        <v>64</v>
      </c>
      <c r="W537">
        <v>6</v>
      </c>
    </row>
    <row r="538" spans="1:25">
      <c r="A538" s="1" t="s">
        <v>607</v>
      </c>
      <c r="B538" t="s">
        <v>70</v>
      </c>
      <c r="C538" t="s">
        <v>71</v>
      </c>
      <c r="D538" t="s">
        <v>52</v>
      </c>
      <c r="E538" t="s">
        <v>66</v>
      </c>
      <c r="F538" t="s">
        <v>48</v>
      </c>
      <c r="G538" t="s">
        <v>45</v>
      </c>
      <c r="H538" t="s">
        <v>40</v>
      </c>
      <c r="I538" t="s">
        <v>33</v>
      </c>
      <c r="J538" s="2">
        <v>44983</v>
      </c>
      <c r="K538" s="2">
        <v>44986</v>
      </c>
      <c r="L538" s="2">
        <v>44994</v>
      </c>
      <c r="M538" s="2">
        <v>45000</v>
      </c>
      <c r="N538" s="2">
        <v>45010</v>
      </c>
      <c r="O538">
        <v>1</v>
      </c>
      <c r="P538">
        <v>1</v>
      </c>
      <c r="Q538">
        <v>1</v>
      </c>
      <c r="R538">
        <v>0</v>
      </c>
      <c r="S538">
        <v>1</v>
      </c>
      <c r="T538" t="s">
        <v>49</v>
      </c>
      <c r="U538">
        <v>60</v>
      </c>
      <c r="W538">
        <v>3</v>
      </c>
      <c r="X538">
        <v>1338604</v>
      </c>
      <c r="Y538" t="s">
        <v>87</v>
      </c>
    </row>
    <row r="539" spans="1:25">
      <c r="A539" s="1" t="s">
        <v>608</v>
      </c>
      <c r="B539" t="s">
        <v>70</v>
      </c>
      <c r="C539" t="s">
        <v>37</v>
      </c>
      <c r="D539" t="s">
        <v>59</v>
      </c>
      <c r="E539" t="s">
        <v>29</v>
      </c>
      <c r="F539" t="s">
        <v>76</v>
      </c>
      <c r="G539" t="s">
        <v>55</v>
      </c>
      <c r="H539" t="s">
        <v>56</v>
      </c>
      <c r="I539" t="s">
        <v>41</v>
      </c>
      <c r="J539" s="2">
        <v>45180</v>
      </c>
      <c r="K539" s="2">
        <v>45185</v>
      </c>
      <c r="L539" s="2">
        <v>45192</v>
      </c>
      <c r="M539" s="2">
        <v>45194</v>
      </c>
      <c r="N539" s="2">
        <v>45212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74</v>
      </c>
      <c r="U539">
        <v>71</v>
      </c>
      <c r="W539">
        <v>2</v>
      </c>
    </row>
    <row r="540" spans="1:25">
      <c r="A540" s="1" t="s">
        <v>609</v>
      </c>
      <c r="B540" t="s">
        <v>26</v>
      </c>
      <c r="C540" t="s">
        <v>37</v>
      </c>
      <c r="D540" t="s">
        <v>73</v>
      </c>
      <c r="E540" t="s">
        <v>66</v>
      </c>
      <c r="F540" t="s">
        <v>38</v>
      </c>
      <c r="G540" t="s">
        <v>55</v>
      </c>
      <c r="H540" t="s">
        <v>32</v>
      </c>
      <c r="I540" t="s">
        <v>33</v>
      </c>
      <c r="J540" s="2">
        <v>45042</v>
      </c>
      <c r="K540" s="2">
        <v>45044</v>
      </c>
      <c r="L540" s="2">
        <v>45053</v>
      </c>
      <c r="M540" s="2">
        <v>45057</v>
      </c>
      <c r="N540" s="2">
        <v>45067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74</v>
      </c>
      <c r="U540">
        <v>50</v>
      </c>
      <c r="W540">
        <v>2</v>
      </c>
    </row>
    <row r="541" spans="1:25">
      <c r="A541" s="1" t="s">
        <v>610</v>
      </c>
      <c r="B541" t="s">
        <v>70</v>
      </c>
      <c r="C541" t="s">
        <v>47</v>
      </c>
      <c r="D541" t="s">
        <v>44</v>
      </c>
      <c r="E541" t="s">
        <v>29</v>
      </c>
      <c r="F541" t="s">
        <v>48</v>
      </c>
      <c r="G541" t="s">
        <v>31</v>
      </c>
      <c r="H541" t="s">
        <v>40</v>
      </c>
      <c r="I541" t="s">
        <v>41</v>
      </c>
      <c r="J541" s="2">
        <v>45192</v>
      </c>
      <c r="K541" s="2">
        <v>45194</v>
      </c>
      <c r="L541" s="2">
        <v>45198</v>
      </c>
      <c r="M541" s="2">
        <v>45204</v>
      </c>
      <c r="N541" s="2">
        <v>45220</v>
      </c>
      <c r="O541">
        <v>1</v>
      </c>
      <c r="P541">
        <v>1</v>
      </c>
      <c r="Q541">
        <v>1</v>
      </c>
      <c r="R541">
        <v>0</v>
      </c>
      <c r="S541">
        <v>1</v>
      </c>
      <c r="T541" t="s">
        <v>49</v>
      </c>
      <c r="U541">
        <v>95</v>
      </c>
      <c r="W541">
        <v>12</v>
      </c>
      <c r="X541">
        <v>2155061</v>
      </c>
      <c r="Y541" t="s">
        <v>80</v>
      </c>
    </row>
    <row r="542" spans="1:25">
      <c r="A542" s="1" t="s">
        <v>611</v>
      </c>
      <c r="B542" t="s">
        <v>26</v>
      </c>
      <c r="C542" t="s">
        <v>71</v>
      </c>
      <c r="D542" t="s">
        <v>44</v>
      </c>
      <c r="E542" t="s">
        <v>29</v>
      </c>
      <c r="F542" t="s">
        <v>38</v>
      </c>
      <c r="G542" t="s">
        <v>55</v>
      </c>
      <c r="H542" t="s">
        <v>32</v>
      </c>
      <c r="I542" t="s">
        <v>41</v>
      </c>
      <c r="J542" s="2">
        <v>44968</v>
      </c>
      <c r="K542" s="2">
        <v>44971</v>
      </c>
      <c r="L542" s="2">
        <v>44979</v>
      </c>
      <c r="M542" s="2">
        <v>44981</v>
      </c>
      <c r="N542" s="2">
        <v>44992</v>
      </c>
      <c r="O542">
        <v>1</v>
      </c>
      <c r="P542">
        <v>1</v>
      </c>
      <c r="Q542">
        <v>0</v>
      </c>
      <c r="R542">
        <v>0</v>
      </c>
      <c r="S542">
        <v>0</v>
      </c>
      <c r="T542" t="s">
        <v>34</v>
      </c>
      <c r="U542">
        <v>78</v>
      </c>
      <c r="W542">
        <v>5</v>
      </c>
    </row>
    <row r="543" spans="1:25">
      <c r="A543" s="1" t="s">
        <v>612</v>
      </c>
      <c r="B543" t="s">
        <v>70</v>
      </c>
      <c r="C543" t="s">
        <v>47</v>
      </c>
      <c r="D543" t="s">
        <v>59</v>
      </c>
      <c r="E543" t="s">
        <v>63</v>
      </c>
      <c r="F543" t="s">
        <v>38</v>
      </c>
      <c r="G543" t="s">
        <v>60</v>
      </c>
      <c r="H543" t="s">
        <v>56</v>
      </c>
      <c r="I543" t="s">
        <v>33</v>
      </c>
      <c r="J543" s="2">
        <v>45406</v>
      </c>
      <c r="K543" s="2">
        <v>45407</v>
      </c>
      <c r="L543" s="2">
        <v>45410</v>
      </c>
      <c r="M543" s="2">
        <v>45412</v>
      </c>
      <c r="N543" s="2">
        <v>45442</v>
      </c>
      <c r="O543">
        <v>1</v>
      </c>
      <c r="P543">
        <v>0</v>
      </c>
      <c r="Q543">
        <v>0</v>
      </c>
      <c r="R543">
        <v>0</v>
      </c>
      <c r="S543">
        <v>0</v>
      </c>
      <c r="T543" t="s">
        <v>34</v>
      </c>
      <c r="U543">
        <v>54</v>
      </c>
      <c r="W543">
        <v>11</v>
      </c>
    </row>
    <row r="544" spans="1:25">
      <c r="A544" s="1" t="s">
        <v>613</v>
      </c>
      <c r="B544" t="s">
        <v>70</v>
      </c>
      <c r="C544" t="s">
        <v>78</v>
      </c>
      <c r="D544" t="s">
        <v>59</v>
      </c>
      <c r="E544" t="s">
        <v>63</v>
      </c>
      <c r="F544" t="s">
        <v>64</v>
      </c>
      <c r="G544" t="s">
        <v>31</v>
      </c>
      <c r="H544" t="s">
        <v>32</v>
      </c>
      <c r="I544" t="s">
        <v>33</v>
      </c>
      <c r="J544" s="2">
        <v>45161</v>
      </c>
      <c r="K544" s="2">
        <v>45164</v>
      </c>
      <c r="L544" s="2">
        <v>45169</v>
      </c>
      <c r="M544" s="2">
        <v>45176</v>
      </c>
      <c r="N544" s="2">
        <v>45183</v>
      </c>
      <c r="O544">
        <v>1</v>
      </c>
      <c r="P544">
        <v>1</v>
      </c>
      <c r="Q544">
        <v>0</v>
      </c>
      <c r="R544">
        <v>0</v>
      </c>
      <c r="S544">
        <v>0</v>
      </c>
      <c r="T544" t="s">
        <v>34</v>
      </c>
      <c r="U544">
        <v>99</v>
      </c>
      <c r="W544">
        <v>6</v>
      </c>
    </row>
    <row r="545" spans="1:25">
      <c r="A545" s="1" t="s">
        <v>614</v>
      </c>
      <c r="B545" t="s">
        <v>70</v>
      </c>
      <c r="C545" t="s">
        <v>71</v>
      </c>
      <c r="D545" t="s">
        <v>52</v>
      </c>
      <c r="E545" t="s">
        <v>29</v>
      </c>
      <c r="F545" t="s">
        <v>67</v>
      </c>
      <c r="G545" t="s">
        <v>39</v>
      </c>
      <c r="H545" t="s">
        <v>40</v>
      </c>
      <c r="I545" t="s">
        <v>33</v>
      </c>
      <c r="J545" s="2">
        <v>45372</v>
      </c>
      <c r="K545" s="2">
        <v>45373</v>
      </c>
      <c r="L545" s="2">
        <v>45379</v>
      </c>
      <c r="M545" s="2">
        <v>45384</v>
      </c>
      <c r="N545" s="2">
        <v>45394</v>
      </c>
      <c r="O545">
        <v>1</v>
      </c>
      <c r="P545">
        <v>1</v>
      </c>
      <c r="Q545">
        <v>1</v>
      </c>
      <c r="R545">
        <v>0</v>
      </c>
      <c r="S545">
        <v>1</v>
      </c>
      <c r="T545" t="s">
        <v>49</v>
      </c>
      <c r="U545">
        <v>59</v>
      </c>
      <c r="W545">
        <v>4</v>
      </c>
      <c r="X545">
        <v>1359376</v>
      </c>
      <c r="Y545" t="s">
        <v>80</v>
      </c>
    </row>
    <row r="546" spans="1:25">
      <c r="A546" s="1" t="s">
        <v>615</v>
      </c>
      <c r="B546" t="s">
        <v>70</v>
      </c>
      <c r="C546" t="s">
        <v>37</v>
      </c>
      <c r="D546" t="s">
        <v>44</v>
      </c>
      <c r="E546" t="s">
        <v>29</v>
      </c>
      <c r="F546" t="s">
        <v>30</v>
      </c>
      <c r="G546" t="s">
        <v>45</v>
      </c>
      <c r="H546" t="s">
        <v>56</v>
      </c>
      <c r="I546" t="s">
        <v>33</v>
      </c>
      <c r="J546" s="2">
        <v>45268</v>
      </c>
      <c r="K546" s="2">
        <v>45272</v>
      </c>
      <c r="L546" s="2">
        <v>45278</v>
      </c>
      <c r="M546" s="2">
        <v>45281</v>
      </c>
      <c r="N546" s="2">
        <v>45297</v>
      </c>
      <c r="O546">
        <v>1</v>
      </c>
      <c r="P546">
        <v>1</v>
      </c>
      <c r="Q546">
        <v>0</v>
      </c>
      <c r="R546">
        <v>0</v>
      </c>
      <c r="S546">
        <v>0</v>
      </c>
      <c r="T546" t="s">
        <v>34</v>
      </c>
      <c r="U546">
        <v>81</v>
      </c>
      <c r="W546">
        <v>3</v>
      </c>
    </row>
    <row r="547" spans="1:25">
      <c r="A547" s="1" t="s">
        <v>616</v>
      </c>
      <c r="B547" t="s">
        <v>90</v>
      </c>
      <c r="C547" t="s">
        <v>71</v>
      </c>
      <c r="D547" t="s">
        <v>59</v>
      </c>
      <c r="E547" t="s">
        <v>102</v>
      </c>
      <c r="F547" t="s">
        <v>76</v>
      </c>
      <c r="G547" t="s">
        <v>55</v>
      </c>
      <c r="H547" t="s">
        <v>32</v>
      </c>
      <c r="I547" t="s">
        <v>41</v>
      </c>
      <c r="J547" s="2">
        <v>45043</v>
      </c>
      <c r="K547" s="2">
        <v>45045</v>
      </c>
      <c r="L547" s="2">
        <v>45053</v>
      </c>
      <c r="M547" s="2">
        <v>45060</v>
      </c>
      <c r="N547" s="2">
        <v>45075</v>
      </c>
      <c r="O547">
        <v>1</v>
      </c>
      <c r="P547">
        <v>1</v>
      </c>
      <c r="Q547">
        <v>1</v>
      </c>
      <c r="R547">
        <v>0</v>
      </c>
      <c r="S547">
        <v>0</v>
      </c>
      <c r="T547" t="s">
        <v>49</v>
      </c>
      <c r="U547">
        <v>84</v>
      </c>
      <c r="W547">
        <v>6</v>
      </c>
      <c r="X547">
        <v>1437460</v>
      </c>
      <c r="Y547" t="s">
        <v>68</v>
      </c>
    </row>
    <row r="548" spans="1:25">
      <c r="A548" s="1" t="s">
        <v>617</v>
      </c>
      <c r="B548" t="s">
        <v>70</v>
      </c>
      <c r="C548" t="s">
        <v>37</v>
      </c>
      <c r="D548" t="s">
        <v>44</v>
      </c>
      <c r="E548" t="s">
        <v>66</v>
      </c>
      <c r="F548" t="s">
        <v>76</v>
      </c>
      <c r="G548" t="s">
        <v>39</v>
      </c>
      <c r="H548" t="s">
        <v>56</v>
      </c>
      <c r="I548" t="s">
        <v>41</v>
      </c>
      <c r="J548" s="2">
        <v>45436</v>
      </c>
      <c r="K548" s="2">
        <v>45440</v>
      </c>
      <c r="L548" s="2">
        <v>45443</v>
      </c>
      <c r="M548" s="2">
        <v>45446</v>
      </c>
      <c r="N548" s="2">
        <v>45465</v>
      </c>
      <c r="O548">
        <v>1</v>
      </c>
      <c r="P548">
        <v>0</v>
      </c>
      <c r="Q548">
        <v>0</v>
      </c>
      <c r="R548">
        <v>0</v>
      </c>
      <c r="S548">
        <v>0</v>
      </c>
      <c r="T548" t="s">
        <v>34</v>
      </c>
      <c r="U548">
        <v>64</v>
      </c>
      <c r="W548">
        <v>1</v>
      </c>
    </row>
    <row r="549" spans="1:25">
      <c r="A549" s="1" t="s">
        <v>618</v>
      </c>
      <c r="B549" t="s">
        <v>26</v>
      </c>
      <c r="C549" t="s">
        <v>37</v>
      </c>
      <c r="D549" t="s">
        <v>73</v>
      </c>
      <c r="E549" t="s">
        <v>66</v>
      </c>
      <c r="F549" t="s">
        <v>76</v>
      </c>
      <c r="G549" t="s">
        <v>39</v>
      </c>
      <c r="H549" t="s">
        <v>56</v>
      </c>
      <c r="I549" t="s">
        <v>41</v>
      </c>
      <c r="J549" s="2">
        <v>45432</v>
      </c>
      <c r="K549" s="2">
        <v>45437</v>
      </c>
      <c r="L549" s="2">
        <v>45443</v>
      </c>
      <c r="M549" s="2">
        <v>45448</v>
      </c>
      <c r="N549" s="2">
        <v>45446</v>
      </c>
      <c r="O549">
        <v>1</v>
      </c>
      <c r="P549">
        <v>0</v>
      </c>
      <c r="Q549">
        <v>0</v>
      </c>
      <c r="R549">
        <v>0</v>
      </c>
      <c r="S549">
        <v>0</v>
      </c>
      <c r="T549" t="s">
        <v>34</v>
      </c>
      <c r="U549">
        <v>53</v>
      </c>
      <c r="W549">
        <v>2</v>
      </c>
    </row>
    <row r="550" spans="1:25">
      <c r="A550" s="1" t="s">
        <v>619</v>
      </c>
      <c r="B550" t="s">
        <v>26</v>
      </c>
      <c r="C550" t="s">
        <v>37</v>
      </c>
      <c r="D550" t="s">
        <v>59</v>
      </c>
      <c r="E550" t="s">
        <v>54</v>
      </c>
      <c r="F550" t="s">
        <v>30</v>
      </c>
      <c r="G550" t="s">
        <v>60</v>
      </c>
      <c r="H550" t="s">
        <v>40</v>
      </c>
      <c r="I550" t="s">
        <v>41</v>
      </c>
      <c r="J550" s="2">
        <v>45373</v>
      </c>
      <c r="K550" s="2">
        <v>45376</v>
      </c>
      <c r="L550" s="2">
        <v>45383</v>
      </c>
      <c r="M550" s="2">
        <v>45386</v>
      </c>
      <c r="N550" s="2">
        <v>45395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74</v>
      </c>
      <c r="U550">
        <v>89</v>
      </c>
      <c r="W550">
        <v>3</v>
      </c>
    </row>
    <row r="551" spans="1:25">
      <c r="A551" s="1" t="s">
        <v>620</v>
      </c>
      <c r="B551" t="s">
        <v>70</v>
      </c>
      <c r="C551" t="s">
        <v>27</v>
      </c>
      <c r="D551" t="s">
        <v>28</v>
      </c>
      <c r="E551" t="s">
        <v>63</v>
      </c>
      <c r="F551" t="s">
        <v>48</v>
      </c>
      <c r="G551" t="s">
        <v>55</v>
      </c>
      <c r="H551" t="s">
        <v>32</v>
      </c>
      <c r="I551" t="s">
        <v>33</v>
      </c>
      <c r="J551" s="2">
        <v>45259</v>
      </c>
      <c r="K551" s="2">
        <v>45262</v>
      </c>
      <c r="L551" s="2">
        <v>45271</v>
      </c>
      <c r="M551" s="2">
        <v>45276</v>
      </c>
      <c r="N551" s="2">
        <v>45289</v>
      </c>
      <c r="O551">
        <v>1</v>
      </c>
      <c r="P551">
        <v>1</v>
      </c>
      <c r="Q551">
        <v>1</v>
      </c>
      <c r="R551">
        <v>0</v>
      </c>
      <c r="S551">
        <v>0</v>
      </c>
      <c r="T551" t="s">
        <v>49</v>
      </c>
      <c r="U551">
        <v>77</v>
      </c>
      <c r="W551">
        <v>1</v>
      </c>
      <c r="X551">
        <v>630411</v>
      </c>
      <c r="Y551" t="s">
        <v>127</v>
      </c>
    </row>
    <row r="552" spans="1:25">
      <c r="A552" s="1" t="s">
        <v>621</v>
      </c>
      <c r="B552" t="s">
        <v>36</v>
      </c>
      <c r="C552" t="s">
        <v>47</v>
      </c>
      <c r="D552" t="s">
        <v>52</v>
      </c>
      <c r="E552" t="s">
        <v>102</v>
      </c>
      <c r="F552" t="s">
        <v>30</v>
      </c>
      <c r="G552" t="s">
        <v>60</v>
      </c>
      <c r="H552" t="s">
        <v>56</v>
      </c>
      <c r="I552" t="s">
        <v>41</v>
      </c>
      <c r="J552" s="2">
        <v>45471</v>
      </c>
      <c r="K552" s="2">
        <v>45473</v>
      </c>
      <c r="L552" s="2">
        <v>45477</v>
      </c>
      <c r="M552" s="2">
        <v>45482</v>
      </c>
      <c r="N552" s="2">
        <v>45492</v>
      </c>
      <c r="O552">
        <v>1</v>
      </c>
      <c r="P552">
        <v>1</v>
      </c>
      <c r="Q552">
        <v>1</v>
      </c>
      <c r="R552">
        <v>1</v>
      </c>
      <c r="S552">
        <v>0</v>
      </c>
      <c r="T552" t="s">
        <v>61</v>
      </c>
      <c r="U552">
        <v>83</v>
      </c>
      <c r="V552">
        <v>21</v>
      </c>
      <c r="W552">
        <v>10</v>
      </c>
      <c r="X552">
        <v>1880512</v>
      </c>
    </row>
    <row r="553" spans="1:25">
      <c r="A553" s="1" t="s">
        <v>622</v>
      </c>
      <c r="B553" t="s">
        <v>90</v>
      </c>
      <c r="C553" t="s">
        <v>27</v>
      </c>
      <c r="D553" t="s">
        <v>28</v>
      </c>
      <c r="E553" t="s">
        <v>66</v>
      </c>
      <c r="F553" t="s">
        <v>38</v>
      </c>
      <c r="G553" t="s">
        <v>55</v>
      </c>
      <c r="H553" t="s">
        <v>32</v>
      </c>
      <c r="I553" t="s">
        <v>33</v>
      </c>
      <c r="J553" s="2">
        <v>44929</v>
      </c>
      <c r="K553" s="2">
        <v>44934</v>
      </c>
      <c r="L553" s="2">
        <v>44942</v>
      </c>
      <c r="M553" s="2">
        <v>44944</v>
      </c>
      <c r="N553" s="2">
        <v>44947</v>
      </c>
      <c r="O553">
        <v>1</v>
      </c>
      <c r="P553">
        <v>1</v>
      </c>
      <c r="Q553">
        <v>1</v>
      </c>
      <c r="R553">
        <v>0</v>
      </c>
      <c r="S553">
        <v>0</v>
      </c>
      <c r="T553" t="s">
        <v>49</v>
      </c>
      <c r="U553">
        <v>99</v>
      </c>
      <c r="W553">
        <v>0</v>
      </c>
      <c r="X553">
        <v>588476</v>
      </c>
      <c r="Y553" t="s">
        <v>80</v>
      </c>
    </row>
    <row r="554" spans="1:25">
      <c r="A554" s="1" t="s">
        <v>623</v>
      </c>
      <c r="B554" t="s">
        <v>70</v>
      </c>
      <c r="C554" t="s">
        <v>37</v>
      </c>
      <c r="D554" t="s">
        <v>28</v>
      </c>
      <c r="E554" t="s">
        <v>63</v>
      </c>
      <c r="F554" t="s">
        <v>48</v>
      </c>
      <c r="G554" t="s">
        <v>39</v>
      </c>
      <c r="H554" t="s">
        <v>32</v>
      </c>
      <c r="I554" t="s">
        <v>41</v>
      </c>
      <c r="J554" s="2">
        <v>45227</v>
      </c>
      <c r="K554" s="2">
        <v>45232</v>
      </c>
      <c r="L554" s="2">
        <v>45236</v>
      </c>
      <c r="M554" s="2">
        <v>45239</v>
      </c>
      <c r="N554" s="2">
        <v>45263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74</v>
      </c>
      <c r="U554">
        <v>89</v>
      </c>
      <c r="W554">
        <v>4</v>
      </c>
    </row>
    <row r="555" spans="1:25">
      <c r="A555" s="1" t="s">
        <v>624</v>
      </c>
      <c r="B555" t="s">
        <v>58</v>
      </c>
      <c r="C555" t="s">
        <v>71</v>
      </c>
      <c r="D555" t="s">
        <v>44</v>
      </c>
      <c r="E555" t="s">
        <v>102</v>
      </c>
      <c r="F555" t="s">
        <v>67</v>
      </c>
      <c r="G555" t="s">
        <v>60</v>
      </c>
      <c r="H555" t="s">
        <v>32</v>
      </c>
      <c r="I555" t="s">
        <v>33</v>
      </c>
      <c r="J555" s="2">
        <v>45359</v>
      </c>
      <c r="K555" s="2">
        <v>45363</v>
      </c>
      <c r="L555" s="2">
        <v>45371</v>
      </c>
      <c r="M555" s="2">
        <v>45378</v>
      </c>
      <c r="N555" s="2">
        <v>45369</v>
      </c>
      <c r="O555">
        <v>1</v>
      </c>
      <c r="P555">
        <v>1</v>
      </c>
      <c r="Q555">
        <v>0</v>
      </c>
      <c r="R555">
        <v>0</v>
      </c>
      <c r="S555">
        <v>0</v>
      </c>
      <c r="T555" t="s">
        <v>34</v>
      </c>
      <c r="U555">
        <v>74</v>
      </c>
      <c r="W555">
        <v>5</v>
      </c>
    </row>
    <row r="556" spans="1:25">
      <c r="A556" s="1" t="s">
        <v>625</v>
      </c>
      <c r="B556" t="s">
        <v>70</v>
      </c>
      <c r="C556" t="s">
        <v>27</v>
      </c>
      <c r="D556" t="s">
        <v>73</v>
      </c>
      <c r="E556" t="s">
        <v>102</v>
      </c>
      <c r="F556" t="s">
        <v>64</v>
      </c>
      <c r="G556" t="s">
        <v>60</v>
      </c>
      <c r="H556" t="s">
        <v>56</v>
      </c>
      <c r="I556" t="s">
        <v>41</v>
      </c>
      <c r="J556" s="2">
        <v>45324</v>
      </c>
      <c r="K556" s="2">
        <v>45326</v>
      </c>
      <c r="L556" s="2">
        <v>45333</v>
      </c>
      <c r="M556" s="2">
        <v>45335</v>
      </c>
      <c r="N556" s="2">
        <v>45360</v>
      </c>
      <c r="O556">
        <v>1</v>
      </c>
      <c r="P556">
        <v>1</v>
      </c>
      <c r="Q556">
        <v>1</v>
      </c>
      <c r="R556">
        <v>0</v>
      </c>
      <c r="S556">
        <v>0</v>
      </c>
      <c r="T556" t="s">
        <v>49</v>
      </c>
      <c r="U556">
        <v>91</v>
      </c>
      <c r="W556">
        <v>2</v>
      </c>
      <c r="X556">
        <v>619694</v>
      </c>
      <c r="Y556" t="s">
        <v>68</v>
      </c>
    </row>
    <row r="557" spans="1:25">
      <c r="A557" s="1" t="s">
        <v>626</v>
      </c>
      <c r="B557" t="s">
        <v>70</v>
      </c>
      <c r="C557" t="s">
        <v>37</v>
      </c>
      <c r="D557" t="s">
        <v>59</v>
      </c>
      <c r="E557" t="s">
        <v>102</v>
      </c>
      <c r="F557" t="s">
        <v>30</v>
      </c>
      <c r="G557" t="s">
        <v>31</v>
      </c>
      <c r="H557" t="s">
        <v>32</v>
      </c>
      <c r="I557" t="s">
        <v>41</v>
      </c>
      <c r="J557" s="2">
        <v>45371</v>
      </c>
      <c r="K557" s="2">
        <v>45374</v>
      </c>
      <c r="L557" s="2">
        <v>45382</v>
      </c>
      <c r="M557" s="2">
        <v>45384</v>
      </c>
      <c r="N557" s="2">
        <v>45411</v>
      </c>
      <c r="O557">
        <v>1</v>
      </c>
      <c r="P557">
        <v>0</v>
      </c>
      <c r="Q557">
        <v>0</v>
      </c>
      <c r="R557">
        <v>0</v>
      </c>
      <c r="S557">
        <v>0</v>
      </c>
      <c r="T557" t="s">
        <v>34</v>
      </c>
      <c r="U557">
        <v>90</v>
      </c>
      <c r="W557">
        <v>1</v>
      </c>
    </row>
    <row r="558" spans="1:25">
      <c r="A558" s="1" t="s">
        <v>627</v>
      </c>
      <c r="B558" t="s">
        <v>26</v>
      </c>
      <c r="C558" t="s">
        <v>78</v>
      </c>
      <c r="D558" t="s">
        <v>73</v>
      </c>
      <c r="E558" t="s">
        <v>54</v>
      </c>
      <c r="F558" t="s">
        <v>76</v>
      </c>
      <c r="G558" t="s">
        <v>55</v>
      </c>
      <c r="H558" t="s">
        <v>56</v>
      </c>
      <c r="I558" t="s">
        <v>33</v>
      </c>
      <c r="J558" s="2">
        <v>45286</v>
      </c>
      <c r="K558" s="2">
        <v>45289</v>
      </c>
      <c r="L558" s="2">
        <v>45297</v>
      </c>
      <c r="M558" s="2">
        <v>45304</v>
      </c>
      <c r="N558" s="2">
        <v>45308</v>
      </c>
      <c r="O558">
        <v>1</v>
      </c>
      <c r="P558">
        <v>1</v>
      </c>
      <c r="Q558">
        <v>0</v>
      </c>
      <c r="R558">
        <v>0</v>
      </c>
      <c r="S558">
        <v>0</v>
      </c>
      <c r="T558" t="s">
        <v>34</v>
      </c>
      <c r="U558">
        <v>98</v>
      </c>
      <c r="W558">
        <v>6</v>
      </c>
    </row>
    <row r="559" spans="1:25">
      <c r="A559" s="1" t="s">
        <v>628</v>
      </c>
      <c r="B559" t="s">
        <v>36</v>
      </c>
      <c r="C559" t="s">
        <v>27</v>
      </c>
      <c r="D559" t="s">
        <v>44</v>
      </c>
      <c r="E559" t="s">
        <v>66</v>
      </c>
      <c r="F559" t="s">
        <v>64</v>
      </c>
      <c r="G559" t="s">
        <v>39</v>
      </c>
      <c r="H559" t="s">
        <v>40</v>
      </c>
      <c r="I559" t="s">
        <v>41</v>
      </c>
      <c r="J559" s="2">
        <v>45233</v>
      </c>
      <c r="K559" s="2">
        <v>45236</v>
      </c>
      <c r="L559" s="2">
        <v>45242</v>
      </c>
      <c r="M559" s="2">
        <v>45249</v>
      </c>
      <c r="N559" s="2">
        <v>45247</v>
      </c>
      <c r="O559">
        <v>1</v>
      </c>
      <c r="P559">
        <v>1</v>
      </c>
      <c r="Q559">
        <v>0</v>
      </c>
      <c r="R559">
        <v>0</v>
      </c>
      <c r="S559">
        <v>0</v>
      </c>
      <c r="T559" t="s">
        <v>34</v>
      </c>
      <c r="U559">
        <v>53</v>
      </c>
      <c r="W559">
        <v>0</v>
      </c>
    </row>
    <row r="560" spans="1:25">
      <c r="A560" s="1" t="s">
        <v>629</v>
      </c>
      <c r="B560" t="s">
        <v>90</v>
      </c>
      <c r="C560" t="s">
        <v>37</v>
      </c>
      <c r="D560" t="s">
        <v>28</v>
      </c>
      <c r="E560" t="s">
        <v>102</v>
      </c>
      <c r="F560" t="s">
        <v>30</v>
      </c>
      <c r="G560" t="s">
        <v>31</v>
      </c>
      <c r="H560" t="s">
        <v>56</v>
      </c>
      <c r="I560" t="s">
        <v>33</v>
      </c>
      <c r="J560" s="2">
        <v>45463</v>
      </c>
      <c r="K560" s="2">
        <v>45464</v>
      </c>
      <c r="L560" s="2">
        <v>45473</v>
      </c>
      <c r="M560" s="2">
        <v>45480</v>
      </c>
      <c r="N560" s="2">
        <v>45490</v>
      </c>
      <c r="O560">
        <v>1</v>
      </c>
      <c r="P560">
        <v>1</v>
      </c>
      <c r="Q560">
        <v>1</v>
      </c>
      <c r="R560">
        <v>1</v>
      </c>
      <c r="S560">
        <v>0</v>
      </c>
      <c r="T560" t="s">
        <v>61</v>
      </c>
      <c r="U560">
        <v>58</v>
      </c>
      <c r="V560">
        <v>27</v>
      </c>
      <c r="W560">
        <v>2</v>
      </c>
      <c r="X560">
        <v>825654</v>
      </c>
    </row>
    <row r="561" spans="1:25">
      <c r="A561" s="1" t="s">
        <v>630</v>
      </c>
      <c r="B561" t="s">
        <v>26</v>
      </c>
      <c r="C561" t="s">
        <v>37</v>
      </c>
      <c r="D561" t="s">
        <v>28</v>
      </c>
      <c r="E561" t="s">
        <v>63</v>
      </c>
      <c r="F561" t="s">
        <v>30</v>
      </c>
      <c r="G561" t="s">
        <v>60</v>
      </c>
      <c r="H561" t="s">
        <v>56</v>
      </c>
      <c r="I561" t="s">
        <v>41</v>
      </c>
      <c r="J561" s="2">
        <v>45115</v>
      </c>
      <c r="K561" s="2">
        <v>45116</v>
      </c>
      <c r="L561" s="2">
        <v>45123</v>
      </c>
      <c r="M561" s="2">
        <v>45130</v>
      </c>
      <c r="N561" s="2">
        <v>45138</v>
      </c>
      <c r="O561">
        <v>1</v>
      </c>
      <c r="P561">
        <v>1</v>
      </c>
      <c r="Q561">
        <v>1</v>
      </c>
      <c r="R561">
        <v>1</v>
      </c>
      <c r="S561">
        <v>0</v>
      </c>
      <c r="T561" t="s">
        <v>61</v>
      </c>
      <c r="U561">
        <v>54</v>
      </c>
      <c r="V561">
        <v>23</v>
      </c>
      <c r="W561">
        <v>3</v>
      </c>
      <c r="X561">
        <v>863789</v>
      </c>
    </row>
    <row r="562" spans="1:25">
      <c r="A562" s="1" t="s">
        <v>631</v>
      </c>
      <c r="B562" t="s">
        <v>26</v>
      </c>
      <c r="C562" t="s">
        <v>78</v>
      </c>
      <c r="D562" t="s">
        <v>73</v>
      </c>
      <c r="E562" t="s">
        <v>66</v>
      </c>
      <c r="F562" t="s">
        <v>30</v>
      </c>
      <c r="G562" t="s">
        <v>55</v>
      </c>
      <c r="H562" t="s">
        <v>56</v>
      </c>
      <c r="I562" t="s">
        <v>41</v>
      </c>
      <c r="J562" s="2">
        <v>45446</v>
      </c>
      <c r="K562" s="2">
        <v>45451</v>
      </c>
      <c r="L562" s="2">
        <v>45460</v>
      </c>
      <c r="M562" s="2">
        <v>45462</v>
      </c>
      <c r="N562" s="2">
        <v>45464</v>
      </c>
      <c r="O562">
        <v>1</v>
      </c>
      <c r="P562">
        <v>1</v>
      </c>
      <c r="Q562">
        <v>1</v>
      </c>
      <c r="R562">
        <v>1</v>
      </c>
      <c r="S562">
        <v>0</v>
      </c>
      <c r="T562" t="s">
        <v>61</v>
      </c>
      <c r="U562">
        <v>72</v>
      </c>
      <c r="V562">
        <v>18</v>
      </c>
      <c r="W562">
        <v>10</v>
      </c>
      <c r="X562">
        <v>1620679</v>
      </c>
    </row>
    <row r="563" spans="1:25">
      <c r="A563" s="1" t="s">
        <v>632</v>
      </c>
      <c r="B563" t="s">
        <v>70</v>
      </c>
      <c r="C563" t="s">
        <v>71</v>
      </c>
      <c r="D563" t="s">
        <v>44</v>
      </c>
      <c r="E563" t="s">
        <v>29</v>
      </c>
      <c r="F563" t="s">
        <v>38</v>
      </c>
      <c r="G563" t="s">
        <v>60</v>
      </c>
      <c r="H563" t="s">
        <v>56</v>
      </c>
      <c r="I563" t="s">
        <v>41</v>
      </c>
      <c r="J563" s="2">
        <v>45029</v>
      </c>
      <c r="K563" s="2">
        <v>45033</v>
      </c>
      <c r="L563" s="2">
        <v>45043</v>
      </c>
      <c r="M563" s="2">
        <v>45047</v>
      </c>
      <c r="N563" s="2">
        <v>45068</v>
      </c>
      <c r="O563">
        <v>1</v>
      </c>
      <c r="P563">
        <v>1</v>
      </c>
      <c r="Q563">
        <v>1</v>
      </c>
      <c r="R563">
        <v>1</v>
      </c>
      <c r="S563">
        <v>0</v>
      </c>
      <c r="T563" t="s">
        <v>61</v>
      </c>
      <c r="U563">
        <v>93</v>
      </c>
      <c r="V563">
        <v>39</v>
      </c>
      <c r="W563">
        <v>3</v>
      </c>
      <c r="X563">
        <v>1155080</v>
      </c>
    </row>
    <row r="564" spans="1:25">
      <c r="A564" s="1" t="s">
        <v>633</v>
      </c>
      <c r="B564" t="s">
        <v>70</v>
      </c>
      <c r="C564" t="s">
        <v>37</v>
      </c>
      <c r="D564" t="s">
        <v>44</v>
      </c>
      <c r="E564" t="s">
        <v>29</v>
      </c>
      <c r="F564" t="s">
        <v>38</v>
      </c>
      <c r="G564" t="s">
        <v>60</v>
      </c>
      <c r="H564" t="s">
        <v>56</v>
      </c>
      <c r="I564" t="s">
        <v>41</v>
      </c>
      <c r="J564" s="2">
        <v>45349</v>
      </c>
      <c r="K564" s="2">
        <v>45351</v>
      </c>
      <c r="L564" s="2">
        <v>45354</v>
      </c>
      <c r="M564" s="2">
        <v>45357</v>
      </c>
      <c r="N564" s="2">
        <v>45370</v>
      </c>
      <c r="O564">
        <v>1</v>
      </c>
      <c r="P564">
        <v>1</v>
      </c>
      <c r="Q564">
        <v>1</v>
      </c>
      <c r="R564">
        <v>0</v>
      </c>
      <c r="S564">
        <v>0</v>
      </c>
      <c r="T564" t="s">
        <v>49</v>
      </c>
      <c r="U564">
        <v>54</v>
      </c>
      <c r="W564">
        <v>4</v>
      </c>
      <c r="X564">
        <v>884550</v>
      </c>
      <c r="Y564" t="s">
        <v>80</v>
      </c>
    </row>
    <row r="565" spans="1:25">
      <c r="A565" s="1" t="s">
        <v>634</v>
      </c>
      <c r="B565" t="s">
        <v>43</v>
      </c>
      <c r="C565" t="s">
        <v>27</v>
      </c>
      <c r="D565" t="s">
        <v>28</v>
      </c>
      <c r="E565" t="s">
        <v>54</v>
      </c>
      <c r="F565" t="s">
        <v>76</v>
      </c>
      <c r="G565" t="s">
        <v>39</v>
      </c>
      <c r="H565" t="s">
        <v>40</v>
      </c>
      <c r="I565" t="s">
        <v>33</v>
      </c>
      <c r="J565" s="2">
        <v>45451</v>
      </c>
      <c r="K565" s="2">
        <v>45455</v>
      </c>
      <c r="L565" s="2">
        <v>45458</v>
      </c>
      <c r="M565" s="2">
        <v>45464</v>
      </c>
      <c r="N565" s="2">
        <v>45477</v>
      </c>
      <c r="O565">
        <v>1</v>
      </c>
      <c r="P565">
        <v>0</v>
      </c>
      <c r="Q565">
        <v>0</v>
      </c>
      <c r="R565">
        <v>0</v>
      </c>
      <c r="S565">
        <v>1</v>
      </c>
      <c r="T565" t="s">
        <v>34</v>
      </c>
      <c r="U565">
        <v>92</v>
      </c>
      <c r="W565">
        <v>2</v>
      </c>
    </row>
    <row r="566" spans="1:25">
      <c r="A566" s="1" t="s">
        <v>635</v>
      </c>
      <c r="B566" t="s">
        <v>26</v>
      </c>
      <c r="C566" t="s">
        <v>47</v>
      </c>
      <c r="D566" t="s">
        <v>73</v>
      </c>
      <c r="E566" t="s">
        <v>102</v>
      </c>
      <c r="F566" t="s">
        <v>64</v>
      </c>
      <c r="G566" t="s">
        <v>60</v>
      </c>
      <c r="H566" t="s">
        <v>40</v>
      </c>
      <c r="I566" t="s">
        <v>33</v>
      </c>
      <c r="J566" s="2">
        <v>45169</v>
      </c>
      <c r="K566" s="2">
        <v>45172</v>
      </c>
      <c r="L566" s="2">
        <v>45180</v>
      </c>
      <c r="M566" s="2">
        <v>45187</v>
      </c>
      <c r="N566" s="2">
        <v>45188</v>
      </c>
      <c r="O566">
        <v>1</v>
      </c>
      <c r="P566">
        <v>0</v>
      </c>
      <c r="Q566">
        <v>0</v>
      </c>
      <c r="R566">
        <v>0</v>
      </c>
      <c r="S566">
        <v>0</v>
      </c>
      <c r="T566" t="s">
        <v>34</v>
      </c>
      <c r="U566">
        <v>61</v>
      </c>
      <c r="W566">
        <v>10</v>
      </c>
    </row>
    <row r="567" spans="1:25">
      <c r="A567" s="1" t="s">
        <v>636</v>
      </c>
      <c r="B567" t="s">
        <v>26</v>
      </c>
      <c r="C567" t="s">
        <v>71</v>
      </c>
      <c r="D567" t="s">
        <v>44</v>
      </c>
      <c r="E567" t="s">
        <v>66</v>
      </c>
      <c r="F567" t="s">
        <v>67</v>
      </c>
      <c r="G567" t="s">
        <v>60</v>
      </c>
      <c r="H567" t="s">
        <v>32</v>
      </c>
      <c r="I567" t="s">
        <v>33</v>
      </c>
      <c r="J567" s="2">
        <v>45059</v>
      </c>
      <c r="K567" s="2">
        <v>45060</v>
      </c>
      <c r="L567" s="2">
        <v>45066</v>
      </c>
      <c r="M567" s="2">
        <v>45072</v>
      </c>
      <c r="N567" s="2">
        <v>45082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74</v>
      </c>
      <c r="U567">
        <v>55</v>
      </c>
      <c r="W567">
        <v>4</v>
      </c>
    </row>
    <row r="568" spans="1:25">
      <c r="A568" s="1" t="s">
        <v>637</v>
      </c>
      <c r="B568" t="s">
        <v>36</v>
      </c>
      <c r="C568" t="s">
        <v>47</v>
      </c>
      <c r="D568" t="s">
        <v>28</v>
      </c>
      <c r="E568" t="s">
        <v>54</v>
      </c>
      <c r="F568" t="s">
        <v>38</v>
      </c>
      <c r="G568" t="s">
        <v>39</v>
      </c>
      <c r="H568" t="s">
        <v>40</v>
      </c>
      <c r="I568" t="s">
        <v>41</v>
      </c>
      <c r="J568" s="2">
        <v>45371</v>
      </c>
      <c r="K568" s="2">
        <v>45376</v>
      </c>
      <c r="L568" s="2">
        <v>45384</v>
      </c>
      <c r="M568" s="2">
        <v>45386</v>
      </c>
      <c r="N568" s="2">
        <v>45392</v>
      </c>
      <c r="O568">
        <v>1</v>
      </c>
      <c r="P568">
        <v>1</v>
      </c>
      <c r="Q568">
        <v>1</v>
      </c>
      <c r="R568">
        <v>0</v>
      </c>
      <c r="S568">
        <v>0</v>
      </c>
      <c r="T568" t="s">
        <v>49</v>
      </c>
      <c r="U568">
        <v>52</v>
      </c>
      <c r="W568">
        <v>14</v>
      </c>
      <c r="X568">
        <v>2495423</v>
      </c>
      <c r="Y568" t="s">
        <v>50</v>
      </c>
    </row>
    <row r="569" spans="1:25">
      <c r="A569" s="1" t="s">
        <v>638</v>
      </c>
      <c r="B569" t="s">
        <v>43</v>
      </c>
      <c r="C569" t="s">
        <v>71</v>
      </c>
      <c r="D569" t="s">
        <v>44</v>
      </c>
      <c r="E569" t="s">
        <v>29</v>
      </c>
      <c r="F569" t="s">
        <v>30</v>
      </c>
      <c r="G569" t="s">
        <v>45</v>
      </c>
      <c r="H569" t="s">
        <v>32</v>
      </c>
      <c r="I569" t="s">
        <v>33</v>
      </c>
      <c r="J569" s="2">
        <v>45343</v>
      </c>
      <c r="K569" s="2">
        <v>45345</v>
      </c>
      <c r="L569" s="2">
        <v>45353</v>
      </c>
      <c r="M569" s="2">
        <v>45359</v>
      </c>
      <c r="N569" s="2">
        <v>45371</v>
      </c>
      <c r="O569">
        <v>1</v>
      </c>
      <c r="P569">
        <v>1</v>
      </c>
      <c r="Q569">
        <v>1</v>
      </c>
      <c r="R569">
        <v>1</v>
      </c>
      <c r="S569">
        <v>0</v>
      </c>
      <c r="T569" t="s">
        <v>61</v>
      </c>
      <c r="U569">
        <v>76</v>
      </c>
      <c r="V569">
        <v>28</v>
      </c>
      <c r="W569">
        <v>6</v>
      </c>
      <c r="X569">
        <v>1191697</v>
      </c>
    </row>
    <row r="570" spans="1:25">
      <c r="A570" s="1" t="s">
        <v>639</v>
      </c>
      <c r="B570" t="s">
        <v>26</v>
      </c>
      <c r="C570" t="s">
        <v>78</v>
      </c>
      <c r="D570" t="s">
        <v>28</v>
      </c>
      <c r="E570" t="s">
        <v>63</v>
      </c>
      <c r="F570" t="s">
        <v>38</v>
      </c>
      <c r="G570" t="s">
        <v>45</v>
      </c>
      <c r="H570" t="s">
        <v>40</v>
      </c>
      <c r="I570" t="s">
        <v>33</v>
      </c>
      <c r="J570" s="2">
        <v>45123</v>
      </c>
      <c r="K570" s="2">
        <v>45126</v>
      </c>
      <c r="L570" s="2">
        <v>45129</v>
      </c>
      <c r="M570" s="2">
        <v>45131</v>
      </c>
      <c r="N570" s="2">
        <v>45136</v>
      </c>
      <c r="O570">
        <v>1</v>
      </c>
      <c r="P570">
        <v>1</v>
      </c>
      <c r="Q570">
        <v>1</v>
      </c>
      <c r="R570">
        <v>0</v>
      </c>
      <c r="S570">
        <v>0</v>
      </c>
      <c r="T570" t="s">
        <v>49</v>
      </c>
      <c r="U570">
        <v>97</v>
      </c>
      <c r="W570">
        <v>9</v>
      </c>
      <c r="X570">
        <v>2027666</v>
      </c>
      <c r="Y570" t="s">
        <v>50</v>
      </c>
    </row>
    <row r="571" spans="1:25">
      <c r="A571" s="1" t="s">
        <v>640</v>
      </c>
      <c r="B571" t="s">
        <v>90</v>
      </c>
      <c r="C571" t="s">
        <v>71</v>
      </c>
      <c r="D571" t="s">
        <v>44</v>
      </c>
      <c r="E571" t="s">
        <v>54</v>
      </c>
      <c r="F571" t="s">
        <v>76</v>
      </c>
      <c r="G571" t="s">
        <v>55</v>
      </c>
      <c r="H571" t="s">
        <v>32</v>
      </c>
      <c r="I571" t="s">
        <v>33</v>
      </c>
      <c r="J571" s="2">
        <v>45213</v>
      </c>
      <c r="K571" s="2">
        <v>45215</v>
      </c>
      <c r="L571" s="2">
        <v>45219</v>
      </c>
      <c r="M571" s="2">
        <v>45225</v>
      </c>
      <c r="N571" s="2">
        <v>45235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74</v>
      </c>
      <c r="U571">
        <v>71</v>
      </c>
      <c r="W571">
        <v>7</v>
      </c>
    </row>
    <row r="572" spans="1:25">
      <c r="A572" s="1" t="s">
        <v>641</v>
      </c>
      <c r="B572" t="s">
        <v>43</v>
      </c>
      <c r="C572" t="s">
        <v>37</v>
      </c>
      <c r="D572" t="s">
        <v>28</v>
      </c>
      <c r="E572" t="s">
        <v>63</v>
      </c>
      <c r="F572" t="s">
        <v>30</v>
      </c>
      <c r="G572" t="s">
        <v>31</v>
      </c>
      <c r="H572" t="s">
        <v>32</v>
      </c>
      <c r="I572" t="s">
        <v>33</v>
      </c>
      <c r="J572" s="2">
        <v>45334</v>
      </c>
      <c r="K572" s="2">
        <v>45336</v>
      </c>
      <c r="L572" s="2">
        <v>45346</v>
      </c>
      <c r="M572" s="2">
        <v>45353</v>
      </c>
      <c r="N572" s="2">
        <v>45356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74</v>
      </c>
      <c r="U572">
        <v>83</v>
      </c>
      <c r="W572">
        <v>1</v>
      </c>
    </row>
    <row r="573" spans="1:25">
      <c r="A573" s="1" t="s">
        <v>642</v>
      </c>
      <c r="B573" t="s">
        <v>26</v>
      </c>
      <c r="C573" t="s">
        <v>71</v>
      </c>
      <c r="D573" t="s">
        <v>44</v>
      </c>
      <c r="E573" t="s">
        <v>102</v>
      </c>
      <c r="F573" t="s">
        <v>76</v>
      </c>
      <c r="G573" t="s">
        <v>39</v>
      </c>
      <c r="H573" t="s">
        <v>32</v>
      </c>
      <c r="I573" t="s">
        <v>41</v>
      </c>
      <c r="J573" s="2">
        <v>44949</v>
      </c>
      <c r="K573" s="2">
        <v>44950</v>
      </c>
      <c r="L573" s="2">
        <v>44953</v>
      </c>
      <c r="M573" s="2">
        <v>44959</v>
      </c>
      <c r="N573" s="2">
        <v>44962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74</v>
      </c>
      <c r="U573">
        <v>76</v>
      </c>
      <c r="W573">
        <v>7</v>
      </c>
    </row>
    <row r="574" spans="1:25">
      <c r="A574" s="1" t="s">
        <v>643</v>
      </c>
      <c r="B574" t="s">
        <v>58</v>
      </c>
      <c r="C574" t="s">
        <v>27</v>
      </c>
      <c r="D574" t="s">
        <v>52</v>
      </c>
      <c r="E574" t="s">
        <v>66</v>
      </c>
      <c r="F574" t="s">
        <v>48</v>
      </c>
      <c r="G574" t="s">
        <v>60</v>
      </c>
      <c r="H574" t="s">
        <v>32</v>
      </c>
      <c r="I574" t="s">
        <v>41</v>
      </c>
      <c r="J574" s="2">
        <v>45307</v>
      </c>
      <c r="K574" s="2">
        <v>45309</v>
      </c>
      <c r="L574" s="2">
        <v>45318</v>
      </c>
      <c r="M574" s="2">
        <v>45321</v>
      </c>
      <c r="N574" s="2">
        <v>45319</v>
      </c>
      <c r="O574">
        <v>1</v>
      </c>
      <c r="P574">
        <v>0</v>
      </c>
      <c r="Q574">
        <v>0</v>
      </c>
      <c r="R574">
        <v>0</v>
      </c>
      <c r="S574">
        <v>0</v>
      </c>
      <c r="T574" t="s">
        <v>34</v>
      </c>
      <c r="U574">
        <v>48</v>
      </c>
      <c r="W574">
        <v>1</v>
      </c>
    </row>
    <row r="575" spans="1:25">
      <c r="A575" s="1" t="s">
        <v>644</v>
      </c>
      <c r="B575" t="s">
        <v>58</v>
      </c>
      <c r="C575" t="s">
        <v>71</v>
      </c>
      <c r="D575" t="s">
        <v>59</v>
      </c>
      <c r="E575" t="s">
        <v>54</v>
      </c>
      <c r="F575" t="s">
        <v>67</v>
      </c>
      <c r="G575" t="s">
        <v>45</v>
      </c>
      <c r="H575" t="s">
        <v>40</v>
      </c>
      <c r="I575" t="s">
        <v>33</v>
      </c>
      <c r="J575" s="2">
        <v>45089</v>
      </c>
      <c r="K575" s="2">
        <v>45094</v>
      </c>
      <c r="L575" s="2">
        <v>45101</v>
      </c>
      <c r="M575" s="2">
        <v>45105</v>
      </c>
      <c r="N575" s="2">
        <v>45108</v>
      </c>
      <c r="O575">
        <v>1</v>
      </c>
      <c r="P575">
        <v>1</v>
      </c>
      <c r="Q575">
        <v>0</v>
      </c>
      <c r="R575">
        <v>0</v>
      </c>
      <c r="S575">
        <v>0</v>
      </c>
      <c r="T575" t="s">
        <v>34</v>
      </c>
      <c r="U575">
        <v>50</v>
      </c>
      <c r="W575">
        <v>6</v>
      </c>
    </row>
    <row r="576" spans="1:25">
      <c r="A576" s="1" t="s">
        <v>645</v>
      </c>
      <c r="B576" t="s">
        <v>70</v>
      </c>
      <c r="C576" t="s">
        <v>78</v>
      </c>
      <c r="D576" t="s">
        <v>59</v>
      </c>
      <c r="E576" t="s">
        <v>29</v>
      </c>
      <c r="F576" t="s">
        <v>76</v>
      </c>
      <c r="G576" t="s">
        <v>45</v>
      </c>
      <c r="H576" t="s">
        <v>56</v>
      </c>
      <c r="I576" t="s">
        <v>41</v>
      </c>
      <c r="J576" s="2">
        <v>45125</v>
      </c>
      <c r="K576" s="2">
        <v>45130</v>
      </c>
      <c r="L576" s="2">
        <v>45138</v>
      </c>
      <c r="M576" s="2">
        <v>45144</v>
      </c>
      <c r="N576" s="2">
        <v>45151</v>
      </c>
      <c r="O576">
        <v>1</v>
      </c>
      <c r="P576">
        <v>1</v>
      </c>
      <c r="Q576">
        <v>1</v>
      </c>
      <c r="R576">
        <v>0</v>
      </c>
      <c r="S576">
        <v>0</v>
      </c>
      <c r="T576" t="s">
        <v>49</v>
      </c>
      <c r="U576">
        <v>96</v>
      </c>
      <c r="W576">
        <v>10</v>
      </c>
      <c r="X576">
        <v>2062219</v>
      </c>
      <c r="Y576" t="s">
        <v>50</v>
      </c>
    </row>
    <row r="577" spans="1:25">
      <c r="A577" s="1" t="s">
        <v>646</v>
      </c>
      <c r="B577" t="s">
        <v>26</v>
      </c>
      <c r="C577" t="s">
        <v>78</v>
      </c>
      <c r="D577" t="s">
        <v>59</v>
      </c>
      <c r="E577" t="s">
        <v>63</v>
      </c>
      <c r="F577" t="s">
        <v>30</v>
      </c>
      <c r="G577" t="s">
        <v>45</v>
      </c>
      <c r="H577" t="s">
        <v>56</v>
      </c>
      <c r="I577" t="s">
        <v>41</v>
      </c>
      <c r="J577" s="2">
        <v>44949</v>
      </c>
      <c r="K577" s="2">
        <v>44953</v>
      </c>
      <c r="L577" s="2">
        <v>44962</v>
      </c>
      <c r="M577" s="2">
        <v>44969</v>
      </c>
      <c r="N577" s="2">
        <v>44966</v>
      </c>
      <c r="O577">
        <v>1</v>
      </c>
      <c r="P577">
        <v>1</v>
      </c>
      <c r="Q577">
        <v>1</v>
      </c>
      <c r="R577">
        <v>1</v>
      </c>
      <c r="S577">
        <v>0</v>
      </c>
      <c r="T577" t="s">
        <v>61</v>
      </c>
      <c r="U577">
        <v>75</v>
      </c>
      <c r="V577">
        <v>17</v>
      </c>
      <c r="W577">
        <v>6</v>
      </c>
      <c r="X577">
        <v>1779364</v>
      </c>
    </row>
    <row r="578" spans="1:25">
      <c r="A578" s="1" t="s">
        <v>647</v>
      </c>
      <c r="B578" t="s">
        <v>70</v>
      </c>
      <c r="C578" t="s">
        <v>71</v>
      </c>
      <c r="D578" t="s">
        <v>59</v>
      </c>
      <c r="E578" t="s">
        <v>54</v>
      </c>
      <c r="F578" t="s">
        <v>38</v>
      </c>
      <c r="G578" t="s">
        <v>55</v>
      </c>
      <c r="H578" t="s">
        <v>40</v>
      </c>
      <c r="I578" t="s">
        <v>41</v>
      </c>
      <c r="J578" s="2">
        <v>45257</v>
      </c>
      <c r="K578" s="2">
        <v>45261</v>
      </c>
      <c r="L578" s="2">
        <v>45264</v>
      </c>
      <c r="M578" s="2">
        <v>45270</v>
      </c>
      <c r="N578" s="2">
        <v>45288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74</v>
      </c>
      <c r="U578">
        <v>81</v>
      </c>
      <c r="W578">
        <v>6</v>
      </c>
    </row>
    <row r="579" spans="1:25">
      <c r="A579" s="1" t="s">
        <v>648</v>
      </c>
      <c r="B579" t="s">
        <v>26</v>
      </c>
      <c r="C579" t="s">
        <v>37</v>
      </c>
      <c r="D579" t="s">
        <v>44</v>
      </c>
      <c r="E579" t="s">
        <v>54</v>
      </c>
      <c r="F579" t="s">
        <v>64</v>
      </c>
      <c r="G579" t="s">
        <v>39</v>
      </c>
      <c r="H579" t="s">
        <v>56</v>
      </c>
      <c r="I579" t="s">
        <v>33</v>
      </c>
      <c r="J579" s="2">
        <v>45286</v>
      </c>
      <c r="K579" s="2">
        <v>45287</v>
      </c>
      <c r="L579" s="2">
        <v>45293</v>
      </c>
      <c r="M579" s="2">
        <v>45298</v>
      </c>
      <c r="N579" s="2">
        <v>45305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74</v>
      </c>
      <c r="U579">
        <v>70</v>
      </c>
      <c r="W579">
        <v>1</v>
      </c>
    </row>
    <row r="580" spans="1:25">
      <c r="A580" s="1" t="s">
        <v>649</v>
      </c>
      <c r="B580" t="s">
        <v>36</v>
      </c>
      <c r="C580" t="s">
        <v>37</v>
      </c>
      <c r="D580" t="s">
        <v>44</v>
      </c>
      <c r="E580" t="s">
        <v>66</v>
      </c>
      <c r="F580" t="s">
        <v>38</v>
      </c>
      <c r="G580" t="s">
        <v>39</v>
      </c>
      <c r="H580" t="s">
        <v>56</v>
      </c>
      <c r="I580" t="s">
        <v>41</v>
      </c>
      <c r="J580" s="2">
        <v>45234</v>
      </c>
      <c r="K580" s="2">
        <v>45238</v>
      </c>
      <c r="L580" s="2">
        <v>45243</v>
      </c>
      <c r="M580" s="2">
        <v>45245</v>
      </c>
      <c r="N580" s="2">
        <v>45255</v>
      </c>
      <c r="O580">
        <v>1</v>
      </c>
      <c r="P580">
        <v>0</v>
      </c>
      <c r="Q580">
        <v>0</v>
      </c>
      <c r="R580">
        <v>0</v>
      </c>
      <c r="S580">
        <v>0</v>
      </c>
      <c r="T580" t="s">
        <v>34</v>
      </c>
      <c r="U580">
        <v>81</v>
      </c>
      <c r="W580">
        <v>1</v>
      </c>
    </row>
    <row r="581" spans="1:25">
      <c r="A581" s="1" t="s">
        <v>650</v>
      </c>
      <c r="B581" t="s">
        <v>90</v>
      </c>
      <c r="C581" t="s">
        <v>37</v>
      </c>
      <c r="D581" t="s">
        <v>59</v>
      </c>
      <c r="E581" t="s">
        <v>29</v>
      </c>
      <c r="F581" t="s">
        <v>76</v>
      </c>
      <c r="G581" t="s">
        <v>31</v>
      </c>
      <c r="H581" t="s">
        <v>40</v>
      </c>
      <c r="I581" t="s">
        <v>33</v>
      </c>
      <c r="J581" s="2">
        <v>44952</v>
      </c>
      <c r="K581" s="2">
        <v>44957</v>
      </c>
      <c r="L581" s="2">
        <v>44967</v>
      </c>
      <c r="M581" s="2">
        <v>44971</v>
      </c>
      <c r="N581" s="2">
        <v>44971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74</v>
      </c>
      <c r="U581">
        <v>80</v>
      </c>
      <c r="W581">
        <v>4</v>
      </c>
    </row>
    <row r="582" spans="1:25">
      <c r="A582" s="1" t="s">
        <v>651</v>
      </c>
      <c r="B582" t="s">
        <v>90</v>
      </c>
      <c r="C582" t="s">
        <v>47</v>
      </c>
      <c r="D582" t="s">
        <v>44</v>
      </c>
      <c r="E582" t="s">
        <v>29</v>
      </c>
      <c r="F582" t="s">
        <v>64</v>
      </c>
      <c r="G582" t="s">
        <v>60</v>
      </c>
      <c r="H582" t="s">
        <v>32</v>
      </c>
      <c r="I582" t="s">
        <v>33</v>
      </c>
      <c r="J582" s="2">
        <v>45191</v>
      </c>
      <c r="K582" s="2">
        <v>45193</v>
      </c>
      <c r="L582" s="2">
        <v>45196</v>
      </c>
      <c r="M582" s="2">
        <v>45201</v>
      </c>
      <c r="N582" s="2">
        <v>45223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74</v>
      </c>
      <c r="U582">
        <v>78</v>
      </c>
      <c r="W582">
        <v>10</v>
      </c>
    </row>
    <row r="583" spans="1:25">
      <c r="A583" s="1" t="s">
        <v>652</v>
      </c>
      <c r="B583" t="s">
        <v>26</v>
      </c>
      <c r="C583" t="s">
        <v>27</v>
      </c>
      <c r="D583" t="s">
        <v>52</v>
      </c>
      <c r="E583" t="s">
        <v>54</v>
      </c>
      <c r="F583" t="s">
        <v>76</v>
      </c>
      <c r="G583" t="s">
        <v>55</v>
      </c>
      <c r="H583" t="s">
        <v>56</v>
      </c>
      <c r="I583" t="s">
        <v>41</v>
      </c>
      <c r="J583" s="2">
        <v>45227</v>
      </c>
      <c r="K583" s="2">
        <v>45232</v>
      </c>
      <c r="L583" s="2">
        <v>45237</v>
      </c>
      <c r="M583" s="2">
        <v>45241</v>
      </c>
      <c r="N583" s="2">
        <v>45250</v>
      </c>
      <c r="O583">
        <v>1</v>
      </c>
      <c r="P583">
        <v>0</v>
      </c>
      <c r="Q583">
        <v>0</v>
      </c>
      <c r="R583">
        <v>0</v>
      </c>
      <c r="S583">
        <v>1</v>
      </c>
      <c r="T583" t="s">
        <v>34</v>
      </c>
      <c r="U583">
        <v>88</v>
      </c>
      <c r="W583">
        <v>1</v>
      </c>
    </row>
    <row r="584" spans="1:25">
      <c r="A584" s="1" t="s">
        <v>653</v>
      </c>
      <c r="B584" t="s">
        <v>90</v>
      </c>
      <c r="C584" t="s">
        <v>37</v>
      </c>
      <c r="D584" t="s">
        <v>28</v>
      </c>
      <c r="E584" t="s">
        <v>66</v>
      </c>
      <c r="F584" t="s">
        <v>38</v>
      </c>
      <c r="G584" t="s">
        <v>39</v>
      </c>
      <c r="H584" t="s">
        <v>56</v>
      </c>
      <c r="I584" t="s">
        <v>33</v>
      </c>
      <c r="J584" s="2">
        <v>45341</v>
      </c>
      <c r="K584" s="2">
        <v>45346</v>
      </c>
      <c r="L584" s="2">
        <v>45356</v>
      </c>
      <c r="M584" s="2">
        <v>45363</v>
      </c>
      <c r="N584" s="2">
        <v>45366</v>
      </c>
      <c r="O584">
        <v>1</v>
      </c>
      <c r="P584">
        <v>1</v>
      </c>
      <c r="Q584">
        <v>0</v>
      </c>
      <c r="R584">
        <v>0</v>
      </c>
      <c r="S584">
        <v>0</v>
      </c>
      <c r="T584" t="s">
        <v>34</v>
      </c>
      <c r="U584">
        <v>63</v>
      </c>
      <c r="W584">
        <v>3</v>
      </c>
    </row>
    <row r="585" spans="1:25">
      <c r="A585" s="1" t="s">
        <v>654</v>
      </c>
      <c r="B585" t="s">
        <v>90</v>
      </c>
      <c r="C585" t="s">
        <v>71</v>
      </c>
      <c r="D585" t="s">
        <v>73</v>
      </c>
      <c r="E585" t="s">
        <v>54</v>
      </c>
      <c r="F585" t="s">
        <v>64</v>
      </c>
      <c r="G585" t="s">
        <v>39</v>
      </c>
      <c r="H585" t="s">
        <v>56</v>
      </c>
      <c r="I585" t="s">
        <v>33</v>
      </c>
      <c r="J585" s="2">
        <v>45367</v>
      </c>
      <c r="K585" s="2">
        <v>45369</v>
      </c>
      <c r="L585" s="2">
        <v>45373</v>
      </c>
      <c r="M585" s="2">
        <v>45375</v>
      </c>
      <c r="N585" s="2">
        <v>45398</v>
      </c>
      <c r="O585">
        <v>1</v>
      </c>
      <c r="P585">
        <v>1</v>
      </c>
      <c r="Q585">
        <v>1</v>
      </c>
      <c r="R585">
        <v>0</v>
      </c>
      <c r="S585">
        <v>1</v>
      </c>
      <c r="T585" t="s">
        <v>49</v>
      </c>
      <c r="U585">
        <v>82</v>
      </c>
      <c r="W585">
        <v>7</v>
      </c>
      <c r="X585">
        <v>1425972</v>
      </c>
      <c r="Y585" t="s">
        <v>87</v>
      </c>
    </row>
    <row r="586" spans="1:25">
      <c r="A586" s="1" t="s">
        <v>655</v>
      </c>
      <c r="B586" t="s">
        <v>43</v>
      </c>
      <c r="C586" t="s">
        <v>71</v>
      </c>
      <c r="D586" t="s">
        <v>59</v>
      </c>
      <c r="E586" t="s">
        <v>54</v>
      </c>
      <c r="F586" t="s">
        <v>38</v>
      </c>
      <c r="G586" t="s">
        <v>45</v>
      </c>
      <c r="H586" t="s">
        <v>40</v>
      </c>
      <c r="I586" t="s">
        <v>41</v>
      </c>
      <c r="J586" s="2">
        <v>45022</v>
      </c>
      <c r="K586" s="2">
        <v>45023</v>
      </c>
      <c r="L586" s="2">
        <v>45030</v>
      </c>
      <c r="M586" s="2">
        <v>45036</v>
      </c>
      <c r="N586" s="2">
        <v>45047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74</v>
      </c>
      <c r="U586">
        <v>82</v>
      </c>
      <c r="W586">
        <v>6</v>
      </c>
    </row>
    <row r="587" spans="1:25">
      <c r="A587" s="1" t="s">
        <v>656</v>
      </c>
      <c r="B587" t="s">
        <v>36</v>
      </c>
      <c r="C587" t="s">
        <v>71</v>
      </c>
      <c r="D587" t="s">
        <v>59</v>
      </c>
      <c r="E587" t="s">
        <v>29</v>
      </c>
      <c r="F587" t="s">
        <v>64</v>
      </c>
      <c r="G587" t="s">
        <v>31</v>
      </c>
      <c r="H587" t="s">
        <v>32</v>
      </c>
      <c r="I587" t="s">
        <v>33</v>
      </c>
      <c r="J587" s="2">
        <v>45009</v>
      </c>
      <c r="K587" s="2">
        <v>45012</v>
      </c>
      <c r="L587" s="2">
        <v>45015</v>
      </c>
      <c r="M587" s="2">
        <v>45019</v>
      </c>
      <c r="N587" s="2">
        <v>45024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74</v>
      </c>
      <c r="U587">
        <v>71</v>
      </c>
      <c r="W587">
        <v>5</v>
      </c>
    </row>
    <row r="588" spans="1:25">
      <c r="A588" s="1" t="s">
        <v>657</v>
      </c>
      <c r="B588" t="s">
        <v>26</v>
      </c>
      <c r="C588" t="s">
        <v>47</v>
      </c>
      <c r="D588" t="s">
        <v>44</v>
      </c>
      <c r="E588" t="s">
        <v>102</v>
      </c>
      <c r="F588" t="s">
        <v>30</v>
      </c>
      <c r="G588" t="s">
        <v>39</v>
      </c>
      <c r="H588" t="s">
        <v>40</v>
      </c>
      <c r="I588" t="s">
        <v>41</v>
      </c>
      <c r="J588" s="2">
        <v>45001</v>
      </c>
      <c r="K588" s="2">
        <v>45002</v>
      </c>
      <c r="L588" s="2">
        <v>45007</v>
      </c>
      <c r="M588" s="2">
        <v>45013</v>
      </c>
      <c r="N588" s="2">
        <v>45018</v>
      </c>
      <c r="O588">
        <v>1</v>
      </c>
      <c r="P588">
        <v>1</v>
      </c>
      <c r="Q588">
        <v>1</v>
      </c>
      <c r="R588">
        <v>1</v>
      </c>
      <c r="S588">
        <v>0</v>
      </c>
      <c r="T588" t="s">
        <v>61</v>
      </c>
      <c r="U588">
        <v>96</v>
      </c>
      <c r="V588">
        <v>17</v>
      </c>
      <c r="W588">
        <v>11</v>
      </c>
      <c r="X588">
        <v>1802444</v>
      </c>
    </row>
    <row r="589" spans="1:25">
      <c r="A589" s="1" t="s">
        <v>658</v>
      </c>
      <c r="B589" t="s">
        <v>43</v>
      </c>
      <c r="C589" t="s">
        <v>78</v>
      </c>
      <c r="D589" t="s">
        <v>59</v>
      </c>
      <c r="E589" t="s">
        <v>29</v>
      </c>
      <c r="F589" t="s">
        <v>64</v>
      </c>
      <c r="G589" t="s">
        <v>31</v>
      </c>
      <c r="H589" t="s">
        <v>32</v>
      </c>
      <c r="I589" t="s">
        <v>33</v>
      </c>
      <c r="J589" s="2">
        <v>45056</v>
      </c>
      <c r="K589" s="2">
        <v>45057</v>
      </c>
      <c r="L589" s="2">
        <v>45065</v>
      </c>
      <c r="M589" s="2">
        <v>45067</v>
      </c>
      <c r="N589" s="2">
        <v>45074</v>
      </c>
      <c r="O589">
        <v>1</v>
      </c>
      <c r="P589">
        <v>1</v>
      </c>
      <c r="Q589">
        <v>0</v>
      </c>
      <c r="R589">
        <v>0</v>
      </c>
      <c r="S589">
        <v>0</v>
      </c>
      <c r="T589" t="s">
        <v>34</v>
      </c>
      <c r="U589">
        <v>70</v>
      </c>
      <c r="W589">
        <v>7</v>
      </c>
    </row>
    <row r="590" spans="1:25">
      <c r="A590" s="1" t="s">
        <v>659</v>
      </c>
      <c r="B590" t="s">
        <v>70</v>
      </c>
      <c r="C590" t="s">
        <v>47</v>
      </c>
      <c r="D590" t="s">
        <v>44</v>
      </c>
      <c r="E590" t="s">
        <v>54</v>
      </c>
      <c r="F590" t="s">
        <v>38</v>
      </c>
      <c r="G590" t="s">
        <v>60</v>
      </c>
      <c r="H590" t="s">
        <v>56</v>
      </c>
      <c r="I590" t="s">
        <v>41</v>
      </c>
      <c r="J590" s="2">
        <v>45012</v>
      </c>
      <c r="K590" s="2">
        <v>45013</v>
      </c>
      <c r="L590" s="2">
        <v>45022</v>
      </c>
      <c r="M590" s="2">
        <v>45028</v>
      </c>
      <c r="N590" s="2">
        <v>45048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74</v>
      </c>
      <c r="U590">
        <v>98</v>
      </c>
      <c r="W590">
        <v>14</v>
      </c>
    </row>
    <row r="591" spans="1:25">
      <c r="A591" s="1" t="s">
        <v>660</v>
      </c>
      <c r="B591" t="s">
        <v>36</v>
      </c>
      <c r="C591" t="s">
        <v>37</v>
      </c>
      <c r="D591" t="s">
        <v>59</v>
      </c>
      <c r="E591" t="s">
        <v>54</v>
      </c>
      <c r="F591" t="s">
        <v>76</v>
      </c>
      <c r="G591" t="s">
        <v>31</v>
      </c>
      <c r="H591" t="s">
        <v>32</v>
      </c>
      <c r="I591" t="s">
        <v>41</v>
      </c>
      <c r="J591" s="2">
        <v>45049</v>
      </c>
      <c r="K591" s="2">
        <v>45054</v>
      </c>
      <c r="L591" s="2">
        <v>45063</v>
      </c>
      <c r="M591" s="2">
        <v>45067</v>
      </c>
      <c r="N591" s="2">
        <v>45075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74</v>
      </c>
      <c r="U591">
        <v>57</v>
      </c>
      <c r="W591">
        <v>2</v>
      </c>
    </row>
    <row r="592" spans="1:25">
      <c r="A592" s="1" t="s">
        <v>661</v>
      </c>
      <c r="B592" t="s">
        <v>26</v>
      </c>
      <c r="C592" t="s">
        <v>78</v>
      </c>
      <c r="D592" t="s">
        <v>73</v>
      </c>
      <c r="E592" t="s">
        <v>102</v>
      </c>
      <c r="F592" t="s">
        <v>76</v>
      </c>
      <c r="G592" t="s">
        <v>45</v>
      </c>
      <c r="H592" t="s">
        <v>32</v>
      </c>
      <c r="I592" t="s">
        <v>33</v>
      </c>
      <c r="J592" s="2">
        <v>45015</v>
      </c>
      <c r="K592" s="2">
        <v>45020</v>
      </c>
      <c r="L592" s="2">
        <v>45028</v>
      </c>
      <c r="M592" s="2">
        <v>45034</v>
      </c>
      <c r="N592" s="2">
        <v>45032</v>
      </c>
      <c r="O592">
        <v>1</v>
      </c>
      <c r="P592">
        <v>1</v>
      </c>
      <c r="Q592">
        <v>1</v>
      </c>
      <c r="R592">
        <v>0</v>
      </c>
      <c r="S592">
        <v>0</v>
      </c>
      <c r="T592" t="s">
        <v>49</v>
      </c>
      <c r="U592">
        <v>93</v>
      </c>
      <c r="W592">
        <v>8</v>
      </c>
      <c r="X592">
        <v>1885387</v>
      </c>
      <c r="Y592" t="s">
        <v>127</v>
      </c>
    </row>
    <row r="593" spans="1:25">
      <c r="A593" s="1" t="s">
        <v>662</v>
      </c>
      <c r="B593" t="s">
        <v>70</v>
      </c>
      <c r="C593" t="s">
        <v>47</v>
      </c>
      <c r="D593" t="s">
        <v>28</v>
      </c>
      <c r="E593" t="s">
        <v>54</v>
      </c>
      <c r="F593" t="s">
        <v>67</v>
      </c>
      <c r="G593" t="s">
        <v>45</v>
      </c>
      <c r="H593" t="s">
        <v>40</v>
      </c>
      <c r="I593" t="s">
        <v>41</v>
      </c>
      <c r="J593" s="2">
        <v>45166</v>
      </c>
      <c r="K593" s="2">
        <v>45167</v>
      </c>
      <c r="L593" s="2">
        <v>45176</v>
      </c>
      <c r="M593" s="2">
        <v>45181</v>
      </c>
      <c r="N593" s="2">
        <v>45199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74</v>
      </c>
      <c r="U593">
        <v>76</v>
      </c>
      <c r="W593">
        <v>10</v>
      </c>
    </row>
    <row r="594" spans="1:25">
      <c r="A594" s="1" t="s">
        <v>663</v>
      </c>
      <c r="B594" t="s">
        <v>70</v>
      </c>
      <c r="C594" t="s">
        <v>71</v>
      </c>
      <c r="D594" t="s">
        <v>59</v>
      </c>
      <c r="E594" t="s">
        <v>63</v>
      </c>
      <c r="F594" t="s">
        <v>48</v>
      </c>
      <c r="G594" t="s">
        <v>45</v>
      </c>
      <c r="H594" t="s">
        <v>40</v>
      </c>
      <c r="I594" t="s">
        <v>41</v>
      </c>
      <c r="J594" s="2">
        <v>44992</v>
      </c>
      <c r="K594" s="2">
        <v>44995</v>
      </c>
      <c r="L594" s="2">
        <v>45000</v>
      </c>
      <c r="M594" s="2">
        <v>45005</v>
      </c>
      <c r="N594" s="2">
        <v>45027</v>
      </c>
      <c r="O594">
        <v>1</v>
      </c>
      <c r="P594">
        <v>1</v>
      </c>
      <c r="Q594">
        <v>1</v>
      </c>
      <c r="R594">
        <v>1</v>
      </c>
      <c r="S594">
        <v>0</v>
      </c>
      <c r="T594" t="s">
        <v>61</v>
      </c>
      <c r="U594">
        <v>92</v>
      </c>
      <c r="V594">
        <v>35</v>
      </c>
      <c r="W594">
        <v>4</v>
      </c>
      <c r="X594">
        <v>1076681</v>
      </c>
    </row>
    <row r="595" spans="1:25">
      <c r="A595" s="1" t="s">
        <v>664</v>
      </c>
      <c r="B595" t="s">
        <v>36</v>
      </c>
      <c r="C595" t="s">
        <v>47</v>
      </c>
      <c r="D595" t="s">
        <v>59</v>
      </c>
      <c r="E595" t="s">
        <v>102</v>
      </c>
      <c r="F595" t="s">
        <v>30</v>
      </c>
      <c r="G595" t="s">
        <v>31</v>
      </c>
      <c r="H595" t="s">
        <v>40</v>
      </c>
      <c r="I595" t="s">
        <v>33</v>
      </c>
      <c r="J595" s="2">
        <v>45284</v>
      </c>
      <c r="K595" s="2">
        <v>45289</v>
      </c>
      <c r="L595" s="2">
        <v>45296</v>
      </c>
      <c r="M595" s="2">
        <v>45298</v>
      </c>
      <c r="N595" s="2">
        <v>45312</v>
      </c>
      <c r="O595">
        <v>1</v>
      </c>
      <c r="P595">
        <v>1</v>
      </c>
      <c r="Q595">
        <v>1</v>
      </c>
      <c r="R595">
        <v>0</v>
      </c>
      <c r="S595">
        <v>0</v>
      </c>
      <c r="T595" t="s">
        <v>49</v>
      </c>
      <c r="U595">
        <v>78</v>
      </c>
      <c r="W595">
        <v>8</v>
      </c>
      <c r="X595">
        <v>1899217</v>
      </c>
      <c r="Y595" t="s">
        <v>68</v>
      </c>
    </row>
    <row r="596" spans="1:25">
      <c r="A596" s="1" t="s">
        <v>665</v>
      </c>
      <c r="B596" t="s">
        <v>70</v>
      </c>
      <c r="C596" t="s">
        <v>71</v>
      </c>
      <c r="D596" t="s">
        <v>73</v>
      </c>
      <c r="E596" t="s">
        <v>29</v>
      </c>
      <c r="F596" t="s">
        <v>30</v>
      </c>
      <c r="G596" t="s">
        <v>31</v>
      </c>
      <c r="H596" t="s">
        <v>56</v>
      </c>
      <c r="I596" t="s">
        <v>33</v>
      </c>
      <c r="J596" s="2">
        <v>45338</v>
      </c>
      <c r="K596" s="2">
        <v>45343</v>
      </c>
      <c r="L596" s="2">
        <v>45347</v>
      </c>
      <c r="M596" s="2">
        <v>45349</v>
      </c>
      <c r="N596" s="2">
        <v>45371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74</v>
      </c>
      <c r="U596">
        <v>91</v>
      </c>
      <c r="W596">
        <v>3</v>
      </c>
    </row>
    <row r="597" spans="1:25">
      <c r="A597" s="1" t="s">
        <v>666</v>
      </c>
      <c r="B597" t="s">
        <v>26</v>
      </c>
      <c r="C597" t="s">
        <v>71</v>
      </c>
      <c r="D597" t="s">
        <v>52</v>
      </c>
      <c r="E597" t="s">
        <v>66</v>
      </c>
      <c r="F597" t="s">
        <v>76</v>
      </c>
      <c r="G597" t="s">
        <v>31</v>
      </c>
      <c r="H597" t="s">
        <v>56</v>
      </c>
      <c r="I597" t="s">
        <v>33</v>
      </c>
      <c r="J597" s="2">
        <v>45010</v>
      </c>
      <c r="K597" s="2">
        <v>45013</v>
      </c>
      <c r="L597" s="2">
        <v>45020</v>
      </c>
      <c r="M597" s="2">
        <v>45027</v>
      </c>
      <c r="N597" s="2">
        <v>45027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74</v>
      </c>
      <c r="U597">
        <v>68</v>
      </c>
      <c r="W597">
        <v>6</v>
      </c>
    </row>
    <row r="598" spans="1:25">
      <c r="A598" s="1" t="s">
        <v>667</v>
      </c>
      <c r="B598" t="s">
        <v>70</v>
      </c>
      <c r="C598" t="s">
        <v>37</v>
      </c>
      <c r="D598" t="s">
        <v>28</v>
      </c>
      <c r="E598" t="s">
        <v>29</v>
      </c>
      <c r="F598" t="s">
        <v>67</v>
      </c>
      <c r="G598" t="s">
        <v>31</v>
      </c>
      <c r="H598" t="s">
        <v>32</v>
      </c>
      <c r="I598" t="s">
        <v>41</v>
      </c>
      <c r="J598" s="2">
        <v>45095</v>
      </c>
      <c r="K598" s="2">
        <v>45098</v>
      </c>
      <c r="L598" s="2">
        <v>45104</v>
      </c>
      <c r="M598" s="2">
        <v>45109</v>
      </c>
      <c r="N598" s="2">
        <v>45129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74</v>
      </c>
      <c r="U598">
        <v>51</v>
      </c>
      <c r="W598">
        <v>1</v>
      </c>
    </row>
    <row r="599" spans="1:25">
      <c r="A599" s="1" t="s">
        <v>668</v>
      </c>
      <c r="B599" t="s">
        <v>43</v>
      </c>
      <c r="C599" t="s">
        <v>78</v>
      </c>
      <c r="D599" t="s">
        <v>52</v>
      </c>
      <c r="E599" t="s">
        <v>102</v>
      </c>
      <c r="F599" t="s">
        <v>76</v>
      </c>
      <c r="G599" t="s">
        <v>39</v>
      </c>
      <c r="H599" t="s">
        <v>40</v>
      </c>
      <c r="I599" t="s">
        <v>33</v>
      </c>
      <c r="J599" s="2">
        <v>45363</v>
      </c>
      <c r="K599" s="2">
        <v>45367</v>
      </c>
      <c r="L599" s="2">
        <v>45371</v>
      </c>
      <c r="M599" s="2">
        <v>45374</v>
      </c>
      <c r="N599" s="2">
        <v>45382</v>
      </c>
      <c r="O599">
        <v>1</v>
      </c>
      <c r="P599">
        <v>1</v>
      </c>
      <c r="Q599">
        <v>1</v>
      </c>
      <c r="R599">
        <v>0</v>
      </c>
      <c r="S599">
        <v>0</v>
      </c>
      <c r="T599" t="s">
        <v>49</v>
      </c>
      <c r="U599">
        <v>59</v>
      </c>
      <c r="W599">
        <v>9</v>
      </c>
      <c r="X599">
        <v>2024150</v>
      </c>
      <c r="Y599" t="s">
        <v>80</v>
      </c>
    </row>
    <row r="600" spans="1:25">
      <c r="A600" s="1" t="s">
        <v>669</v>
      </c>
      <c r="B600" t="s">
        <v>70</v>
      </c>
      <c r="C600" t="s">
        <v>37</v>
      </c>
      <c r="D600" t="s">
        <v>73</v>
      </c>
      <c r="E600" t="s">
        <v>102</v>
      </c>
      <c r="F600" t="s">
        <v>38</v>
      </c>
      <c r="G600" t="s">
        <v>31</v>
      </c>
      <c r="H600" t="s">
        <v>56</v>
      </c>
      <c r="I600" t="s">
        <v>41</v>
      </c>
      <c r="J600" s="2">
        <v>45088</v>
      </c>
      <c r="K600" s="2">
        <v>45091</v>
      </c>
      <c r="L600" s="2">
        <v>45095</v>
      </c>
      <c r="M600" s="2">
        <v>45097</v>
      </c>
      <c r="N600" s="2">
        <v>45108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74</v>
      </c>
      <c r="U600">
        <v>90</v>
      </c>
      <c r="W600">
        <v>2</v>
      </c>
    </row>
    <row r="601" spans="1:25">
      <c r="A601" s="1" t="s">
        <v>670</v>
      </c>
      <c r="B601" t="s">
        <v>43</v>
      </c>
      <c r="C601" t="s">
        <v>47</v>
      </c>
      <c r="D601" t="s">
        <v>44</v>
      </c>
      <c r="E601" t="s">
        <v>54</v>
      </c>
      <c r="F601" t="s">
        <v>67</v>
      </c>
      <c r="G601" t="s">
        <v>60</v>
      </c>
      <c r="H601" t="s">
        <v>32</v>
      </c>
      <c r="I601" t="s">
        <v>33</v>
      </c>
      <c r="J601" s="2">
        <v>45361</v>
      </c>
      <c r="K601" s="2">
        <v>45365</v>
      </c>
      <c r="L601" s="2">
        <v>45374</v>
      </c>
      <c r="M601" s="2">
        <v>45378</v>
      </c>
      <c r="N601" s="2">
        <v>45388</v>
      </c>
      <c r="O601">
        <v>1</v>
      </c>
      <c r="P601">
        <v>1</v>
      </c>
      <c r="Q601">
        <v>1</v>
      </c>
      <c r="R601">
        <v>1</v>
      </c>
      <c r="S601">
        <v>0</v>
      </c>
      <c r="T601" t="s">
        <v>61</v>
      </c>
      <c r="U601">
        <v>86</v>
      </c>
      <c r="V601">
        <v>27</v>
      </c>
      <c r="W601">
        <v>9</v>
      </c>
      <c r="X601">
        <v>2542436</v>
      </c>
    </row>
    <row r="602" spans="1:25">
      <c r="A602" s="1" t="s">
        <v>671</v>
      </c>
      <c r="B602" t="s">
        <v>43</v>
      </c>
      <c r="C602" t="s">
        <v>27</v>
      </c>
      <c r="D602" t="s">
        <v>28</v>
      </c>
      <c r="E602" t="s">
        <v>29</v>
      </c>
      <c r="F602" t="s">
        <v>64</v>
      </c>
      <c r="G602" t="s">
        <v>39</v>
      </c>
      <c r="H602" t="s">
        <v>56</v>
      </c>
      <c r="I602" t="s">
        <v>41</v>
      </c>
      <c r="J602" s="2">
        <v>44960</v>
      </c>
      <c r="K602" s="2">
        <v>44963</v>
      </c>
      <c r="L602" s="2">
        <v>44973</v>
      </c>
      <c r="M602" s="2">
        <v>44980</v>
      </c>
      <c r="N602" s="2">
        <v>44982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74</v>
      </c>
      <c r="U602">
        <v>56</v>
      </c>
      <c r="W602">
        <v>1</v>
      </c>
    </row>
    <row r="603" spans="1:25">
      <c r="A603" s="1" t="s">
        <v>672</v>
      </c>
      <c r="B603" t="s">
        <v>70</v>
      </c>
      <c r="C603" t="s">
        <v>71</v>
      </c>
      <c r="D603" t="s">
        <v>44</v>
      </c>
      <c r="E603" t="s">
        <v>102</v>
      </c>
      <c r="F603" t="s">
        <v>38</v>
      </c>
      <c r="G603" t="s">
        <v>60</v>
      </c>
      <c r="H603" t="s">
        <v>40</v>
      </c>
      <c r="I603" t="s">
        <v>33</v>
      </c>
      <c r="J603" s="2">
        <v>45466</v>
      </c>
      <c r="K603" s="2">
        <v>45471</v>
      </c>
      <c r="L603" s="2">
        <v>45477</v>
      </c>
      <c r="M603" s="2">
        <v>45481</v>
      </c>
      <c r="N603" s="2">
        <v>45506</v>
      </c>
      <c r="O603">
        <v>1</v>
      </c>
      <c r="P603">
        <v>1</v>
      </c>
      <c r="Q603">
        <v>1</v>
      </c>
      <c r="R603">
        <v>0</v>
      </c>
      <c r="S603">
        <v>1</v>
      </c>
      <c r="T603" t="s">
        <v>49</v>
      </c>
      <c r="U603">
        <v>84</v>
      </c>
      <c r="W603">
        <v>7</v>
      </c>
      <c r="X603">
        <v>812276</v>
      </c>
      <c r="Y603" t="s">
        <v>50</v>
      </c>
    </row>
    <row r="604" spans="1:25">
      <c r="A604" s="1" t="s">
        <v>673</v>
      </c>
      <c r="B604" t="s">
        <v>43</v>
      </c>
      <c r="C604" t="s">
        <v>71</v>
      </c>
      <c r="D604" t="s">
        <v>28</v>
      </c>
      <c r="E604" t="s">
        <v>29</v>
      </c>
      <c r="F604" t="s">
        <v>67</v>
      </c>
      <c r="G604" t="s">
        <v>31</v>
      </c>
      <c r="H604" t="s">
        <v>40</v>
      </c>
      <c r="I604" t="s">
        <v>41</v>
      </c>
      <c r="J604" s="2">
        <v>45116</v>
      </c>
      <c r="K604" s="2">
        <v>45117</v>
      </c>
      <c r="L604" s="2">
        <v>45120</v>
      </c>
      <c r="M604" s="2">
        <v>45125</v>
      </c>
      <c r="N604" s="2">
        <v>45134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74</v>
      </c>
      <c r="U604">
        <v>48</v>
      </c>
      <c r="W604">
        <v>5</v>
      </c>
    </row>
    <row r="605" spans="1:25">
      <c r="A605" s="1" t="s">
        <v>674</v>
      </c>
      <c r="B605" t="s">
        <v>26</v>
      </c>
      <c r="C605" t="s">
        <v>71</v>
      </c>
      <c r="D605" t="s">
        <v>52</v>
      </c>
      <c r="E605" t="s">
        <v>29</v>
      </c>
      <c r="F605" t="s">
        <v>30</v>
      </c>
      <c r="G605" t="s">
        <v>55</v>
      </c>
      <c r="H605" t="s">
        <v>32</v>
      </c>
      <c r="I605" t="s">
        <v>41</v>
      </c>
      <c r="J605" s="2">
        <v>44947</v>
      </c>
      <c r="K605" s="2">
        <v>44949</v>
      </c>
      <c r="L605" s="2">
        <v>44955</v>
      </c>
      <c r="M605" s="2">
        <v>44959</v>
      </c>
      <c r="N605" s="2">
        <v>44971</v>
      </c>
      <c r="O605">
        <v>1</v>
      </c>
      <c r="P605">
        <v>1</v>
      </c>
      <c r="Q605">
        <v>0</v>
      </c>
      <c r="R605">
        <v>0</v>
      </c>
      <c r="S605">
        <v>0</v>
      </c>
      <c r="T605" t="s">
        <v>34</v>
      </c>
      <c r="U605">
        <v>97</v>
      </c>
      <c r="W605">
        <v>6</v>
      </c>
    </row>
    <row r="606" spans="1:25">
      <c r="A606" s="1" t="s">
        <v>675</v>
      </c>
      <c r="B606" t="s">
        <v>43</v>
      </c>
      <c r="C606" t="s">
        <v>71</v>
      </c>
      <c r="D606" t="s">
        <v>59</v>
      </c>
      <c r="E606" t="s">
        <v>63</v>
      </c>
      <c r="F606" t="s">
        <v>67</v>
      </c>
      <c r="G606" t="s">
        <v>39</v>
      </c>
      <c r="H606" t="s">
        <v>56</v>
      </c>
      <c r="I606" t="s">
        <v>33</v>
      </c>
      <c r="J606" s="2">
        <v>45126</v>
      </c>
      <c r="K606" s="2">
        <v>45131</v>
      </c>
      <c r="L606" s="2">
        <v>45134</v>
      </c>
      <c r="M606" s="2">
        <v>45138</v>
      </c>
      <c r="N606" s="2">
        <v>45142</v>
      </c>
      <c r="O606">
        <v>1</v>
      </c>
      <c r="P606">
        <v>0</v>
      </c>
      <c r="Q606">
        <v>0</v>
      </c>
      <c r="R606">
        <v>0</v>
      </c>
      <c r="S606">
        <v>0</v>
      </c>
      <c r="T606" t="s">
        <v>34</v>
      </c>
      <c r="U606">
        <v>54</v>
      </c>
      <c r="W606">
        <v>7</v>
      </c>
    </row>
    <row r="607" spans="1:25">
      <c r="A607" s="1" t="s">
        <v>676</v>
      </c>
      <c r="B607" t="s">
        <v>26</v>
      </c>
      <c r="C607" t="s">
        <v>78</v>
      </c>
      <c r="D607" t="s">
        <v>73</v>
      </c>
      <c r="E607" t="s">
        <v>29</v>
      </c>
      <c r="F607" t="s">
        <v>76</v>
      </c>
      <c r="G607" t="s">
        <v>39</v>
      </c>
      <c r="H607" t="s">
        <v>56</v>
      </c>
      <c r="I607" t="s">
        <v>33</v>
      </c>
      <c r="J607" s="2">
        <v>45205</v>
      </c>
      <c r="K607" s="2">
        <v>45209</v>
      </c>
      <c r="L607" s="2">
        <v>45219</v>
      </c>
      <c r="M607" s="2">
        <v>45225</v>
      </c>
      <c r="N607" s="2">
        <v>45226</v>
      </c>
      <c r="O607">
        <v>1</v>
      </c>
      <c r="P607">
        <v>0</v>
      </c>
      <c r="Q607">
        <v>0</v>
      </c>
      <c r="R607">
        <v>0</v>
      </c>
      <c r="S607">
        <v>0</v>
      </c>
      <c r="T607" t="s">
        <v>34</v>
      </c>
      <c r="U607">
        <v>58</v>
      </c>
      <c r="W607">
        <v>8</v>
      </c>
    </row>
    <row r="608" spans="1:25">
      <c r="A608" s="1" t="s">
        <v>677</v>
      </c>
      <c r="B608" t="s">
        <v>26</v>
      </c>
      <c r="C608" t="s">
        <v>37</v>
      </c>
      <c r="D608" t="s">
        <v>44</v>
      </c>
      <c r="E608" t="s">
        <v>54</v>
      </c>
      <c r="F608" t="s">
        <v>48</v>
      </c>
      <c r="G608" t="s">
        <v>39</v>
      </c>
      <c r="H608" t="s">
        <v>32</v>
      </c>
      <c r="I608" t="s">
        <v>33</v>
      </c>
      <c r="J608" s="2">
        <v>45210</v>
      </c>
      <c r="K608" s="2">
        <v>45215</v>
      </c>
      <c r="L608" s="2">
        <v>45223</v>
      </c>
      <c r="M608" s="2">
        <v>45229</v>
      </c>
      <c r="N608" s="2">
        <v>45223</v>
      </c>
      <c r="O608">
        <v>1</v>
      </c>
      <c r="P608">
        <v>1</v>
      </c>
      <c r="Q608">
        <v>0</v>
      </c>
      <c r="R608">
        <v>0</v>
      </c>
      <c r="S608">
        <v>0</v>
      </c>
      <c r="T608" t="s">
        <v>34</v>
      </c>
      <c r="U608">
        <v>83</v>
      </c>
      <c r="W608">
        <v>4</v>
      </c>
    </row>
    <row r="609" spans="1:25">
      <c r="A609" s="1" t="s">
        <v>678</v>
      </c>
      <c r="B609" t="s">
        <v>26</v>
      </c>
      <c r="C609" t="s">
        <v>78</v>
      </c>
      <c r="D609" t="s">
        <v>44</v>
      </c>
      <c r="E609" t="s">
        <v>102</v>
      </c>
      <c r="F609" t="s">
        <v>38</v>
      </c>
      <c r="G609" t="s">
        <v>39</v>
      </c>
      <c r="H609" t="s">
        <v>56</v>
      </c>
      <c r="I609" t="s">
        <v>41</v>
      </c>
      <c r="J609" s="2">
        <v>45312</v>
      </c>
      <c r="K609" s="2">
        <v>45313</v>
      </c>
      <c r="L609" s="2">
        <v>45319</v>
      </c>
      <c r="M609" s="2">
        <v>45326</v>
      </c>
      <c r="N609" s="2">
        <v>45335</v>
      </c>
      <c r="O609">
        <v>1</v>
      </c>
      <c r="P609">
        <v>1</v>
      </c>
      <c r="Q609">
        <v>0</v>
      </c>
      <c r="R609">
        <v>0</v>
      </c>
      <c r="S609">
        <v>0</v>
      </c>
      <c r="T609" t="s">
        <v>34</v>
      </c>
      <c r="U609">
        <v>64</v>
      </c>
      <c r="W609">
        <v>10</v>
      </c>
    </row>
    <row r="610" spans="1:25">
      <c r="A610" s="1" t="s">
        <v>679</v>
      </c>
      <c r="B610" t="s">
        <v>26</v>
      </c>
      <c r="C610" t="s">
        <v>27</v>
      </c>
      <c r="D610" t="s">
        <v>59</v>
      </c>
      <c r="E610" t="s">
        <v>29</v>
      </c>
      <c r="F610" t="s">
        <v>64</v>
      </c>
      <c r="G610" t="s">
        <v>39</v>
      </c>
      <c r="H610" t="s">
        <v>40</v>
      </c>
      <c r="I610" t="s">
        <v>33</v>
      </c>
      <c r="J610" s="2">
        <v>45184</v>
      </c>
      <c r="K610" s="2">
        <v>45185</v>
      </c>
      <c r="L610" s="2">
        <v>45193</v>
      </c>
      <c r="M610" s="2">
        <v>45197</v>
      </c>
      <c r="N610" s="2">
        <v>45207</v>
      </c>
      <c r="O610">
        <v>1</v>
      </c>
      <c r="P610">
        <v>1</v>
      </c>
      <c r="Q610">
        <v>1</v>
      </c>
      <c r="R610">
        <v>1</v>
      </c>
      <c r="S610">
        <v>0</v>
      </c>
      <c r="T610" t="s">
        <v>61</v>
      </c>
      <c r="U610">
        <v>79</v>
      </c>
      <c r="V610">
        <v>23</v>
      </c>
      <c r="W610">
        <v>2</v>
      </c>
      <c r="X610">
        <v>601194</v>
      </c>
    </row>
    <row r="611" spans="1:25">
      <c r="A611" s="1" t="s">
        <v>680</v>
      </c>
      <c r="B611" t="s">
        <v>26</v>
      </c>
      <c r="C611" t="s">
        <v>71</v>
      </c>
      <c r="D611" t="s">
        <v>44</v>
      </c>
      <c r="E611" t="s">
        <v>54</v>
      </c>
      <c r="F611" t="s">
        <v>76</v>
      </c>
      <c r="G611" t="s">
        <v>55</v>
      </c>
      <c r="H611" t="s">
        <v>32</v>
      </c>
      <c r="I611" t="s">
        <v>41</v>
      </c>
      <c r="J611" s="2">
        <v>44994</v>
      </c>
      <c r="K611" s="2">
        <v>44999</v>
      </c>
      <c r="L611" s="2">
        <v>45008</v>
      </c>
      <c r="M611" s="2">
        <v>45010</v>
      </c>
      <c r="N611" s="2">
        <v>45015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74</v>
      </c>
      <c r="U611">
        <v>99</v>
      </c>
      <c r="W611">
        <v>3</v>
      </c>
    </row>
    <row r="612" spans="1:25">
      <c r="A612" s="1" t="s">
        <v>681</v>
      </c>
      <c r="B612" t="s">
        <v>26</v>
      </c>
      <c r="C612" t="s">
        <v>78</v>
      </c>
      <c r="D612" t="s">
        <v>52</v>
      </c>
      <c r="E612" t="s">
        <v>29</v>
      </c>
      <c r="F612" t="s">
        <v>64</v>
      </c>
      <c r="G612" t="s">
        <v>31</v>
      </c>
      <c r="H612" t="s">
        <v>56</v>
      </c>
      <c r="I612" t="s">
        <v>33</v>
      </c>
      <c r="J612" s="2">
        <v>44945</v>
      </c>
      <c r="K612" s="2">
        <v>44950</v>
      </c>
      <c r="L612" s="2">
        <v>44957</v>
      </c>
      <c r="M612" s="2">
        <v>44964</v>
      </c>
      <c r="N612" s="2">
        <v>44964</v>
      </c>
      <c r="O612">
        <v>1</v>
      </c>
      <c r="P612">
        <v>1</v>
      </c>
      <c r="Q612">
        <v>0</v>
      </c>
      <c r="R612">
        <v>0</v>
      </c>
      <c r="S612">
        <v>0</v>
      </c>
      <c r="T612" t="s">
        <v>34</v>
      </c>
      <c r="U612">
        <v>75</v>
      </c>
      <c r="W612">
        <v>10</v>
      </c>
    </row>
    <row r="613" spans="1:25">
      <c r="A613" s="1" t="s">
        <v>682</v>
      </c>
      <c r="B613" t="s">
        <v>70</v>
      </c>
      <c r="C613" t="s">
        <v>71</v>
      </c>
      <c r="D613" t="s">
        <v>28</v>
      </c>
      <c r="E613" t="s">
        <v>54</v>
      </c>
      <c r="F613" t="s">
        <v>30</v>
      </c>
      <c r="G613" t="s">
        <v>55</v>
      </c>
      <c r="H613" t="s">
        <v>56</v>
      </c>
      <c r="I613" t="s">
        <v>41</v>
      </c>
      <c r="J613" s="2">
        <v>45253</v>
      </c>
      <c r="K613" s="2">
        <v>45258</v>
      </c>
      <c r="L613" s="2">
        <v>45261</v>
      </c>
      <c r="M613" s="2">
        <v>45265</v>
      </c>
      <c r="N613" s="2">
        <v>45292</v>
      </c>
      <c r="O613">
        <v>1</v>
      </c>
      <c r="P613">
        <v>1</v>
      </c>
      <c r="Q613">
        <v>0</v>
      </c>
      <c r="R613">
        <v>0</v>
      </c>
      <c r="S613">
        <v>0</v>
      </c>
      <c r="T613" t="s">
        <v>34</v>
      </c>
      <c r="U613">
        <v>92</v>
      </c>
      <c r="W613">
        <v>6</v>
      </c>
    </row>
    <row r="614" spans="1:25">
      <c r="A614" s="1" t="s">
        <v>683</v>
      </c>
      <c r="B614" t="s">
        <v>70</v>
      </c>
      <c r="C614" t="s">
        <v>37</v>
      </c>
      <c r="D614" t="s">
        <v>59</v>
      </c>
      <c r="E614" t="s">
        <v>63</v>
      </c>
      <c r="F614" t="s">
        <v>30</v>
      </c>
      <c r="G614" t="s">
        <v>31</v>
      </c>
      <c r="H614" t="s">
        <v>32</v>
      </c>
      <c r="I614" t="s">
        <v>41</v>
      </c>
      <c r="J614" s="2">
        <v>45118</v>
      </c>
      <c r="K614" s="2">
        <v>45121</v>
      </c>
      <c r="L614" s="2">
        <v>45129</v>
      </c>
      <c r="M614" s="2">
        <v>45131</v>
      </c>
      <c r="N614" s="2">
        <v>45150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74</v>
      </c>
      <c r="U614">
        <v>88</v>
      </c>
      <c r="W614">
        <v>2</v>
      </c>
    </row>
    <row r="615" spans="1:25">
      <c r="A615" s="1" t="s">
        <v>684</v>
      </c>
      <c r="B615" t="s">
        <v>26</v>
      </c>
      <c r="C615" t="s">
        <v>47</v>
      </c>
      <c r="D615" t="s">
        <v>73</v>
      </c>
      <c r="E615" t="s">
        <v>102</v>
      </c>
      <c r="F615" t="s">
        <v>30</v>
      </c>
      <c r="G615" t="s">
        <v>45</v>
      </c>
      <c r="H615" t="s">
        <v>32</v>
      </c>
      <c r="I615" t="s">
        <v>41</v>
      </c>
      <c r="J615" s="2">
        <v>45021</v>
      </c>
      <c r="K615" s="2">
        <v>45026</v>
      </c>
      <c r="L615" s="2">
        <v>45031</v>
      </c>
      <c r="M615" s="2">
        <v>45037</v>
      </c>
      <c r="N615" s="2">
        <v>45039</v>
      </c>
      <c r="O615">
        <v>1</v>
      </c>
      <c r="P615">
        <v>0</v>
      </c>
      <c r="Q615">
        <v>0</v>
      </c>
      <c r="R615">
        <v>0</v>
      </c>
      <c r="S615">
        <v>0</v>
      </c>
      <c r="T615" t="s">
        <v>34</v>
      </c>
      <c r="U615">
        <v>77</v>
      </c>
      <c r="W615">
        <v>13</v>
      </c>
    </row>
    <row r="616" spans="1:25">
      <c r="A616" s="1" t="s">
        <v>685</v>
      </c>
      <c r="B616" t="s">
        <v>43</v>
      </c>
      <c r="C616" t="s">
        <v>27</v>
      </c>
      <c r="D616" t="s">
        <v>28</v>
      </c>
      <c r="E616" t="s">
        <v>29</v>
      </c>
      <c r="F616" t="s">
        <v>64</v>
      </c>
      <c r="G616" t="s">
        <v>45</v>
      </c>
      <c r="H616" t="s">
        <v>56</v>
      </c>
      <c r="I616" t="s">
        <v>33</v>
      </c>
      <c r="J616" s="2">
        <v>45262</v>
      </c>
      <c r="K616" s="2">
        <v>45264</v>
      </c>
      <c r="L616" s="2">
        <v>45271</v>
      </c>
      <c r="M616" s="2">
        <v>45277</v>
      </c>
      <c r="N616" s="2">
        <v>45287</v>
      </c>
      <c r="O616">
        <v>1</v>
      </c>
      <c r="P616">
        <v>1</v>
      </c>
      <c r="Q616">
        <v>1</v>
      </c>
      <c r="R616">
        <v>0</v>
      </c>
      <c r="S616">
        <v>0</v>
      </c>
      <c r="T616" t="s">
        <v>49</v>
      </c>
      <c r="U616">
        <v>93</v>
      </c>
      <c r="W616">
        <v>2</v>
      </c>
      <c r="X616">
        <v>463921</v>
      </c>
      <c r="Y616" t="s">
        <v>80</v>
      </c>
    </row>
    <row r="617" spans="1:25">
      <c r="A617" s="1" t="s">
        <v>686</v>
      </c>
      <c r="B617" t="s">
        <v>70</v>
      </c>
      <c r="C617" t="s">
        <v>27</v>
      </c>
      <c r="D617" t="s">
        <v>28</v>
      </c>
      <c r="E617" t="s">
        <v>29</v>
      </c>
      <c r="F617" t="s">
        <v>30</v>
      </c>
      <c r="G617" t="s">
        <v>60</v>
      </c>
      <c r="H617" t="s">
        <v>32</v>
      </c>
      <c r="I617" t="s">
        <v>41</v>
      </c>
      <c r="J617" s="2">
        <v>45396</v>
      </c>
      <c r="K617" s="2">
        <v>45401</v>
      </c>
      <c r="L617" s="2">
        <v>45408</v>
      </c>
      <c r="M617" s="2">
        <v>45412</v>
      </c>
      <c r="N617" s="2">
        <v>45428</v>
      </c>
      <c r="O617">
        <v>1</v>
      </c>
      <c r="P617">
        <v>1</v>
      </c>
      <c r="Q617">
        <v>1</v>
      </c>
      <c r="R617">
        <v>1</v>
      </c>
      <c r="S617">
        <v>0</v>
      </c>
      <c r="T617" t="s">
        <v>61</v>
      </c>
      <c r="U617">
        <v>68</v>
      </c>
      <c r="V617">
        <v>32</v>
      </c>
      <c r="W617">
        <v>1</v>
      </c>
      <c r="X617">
        <v>508376</v>
      </c>
    </row>
    <row r="618" spans="1:25">
      <c r="A618" s="1" t="s">
        <v>687</v>
      </c>
      <c r="B618" t="s">
        <v>43</v>
      </c>
      <c r="C618" t="s">
        <v>47</v>
      </c>
      <c r="D618" t="s">
        <v>52</v>
      </c>
      <c r="E618" t="s">
        <v>63</v>
      </c>
      <c r="F618" t="s">
        <v>48</v>
      </c>
      <c r="G618" t="s">
        <v>45</v>
      </c>
      <c r="H618" t="s">
        <v>32</v>
      </c>
      <c r="I618" t="s">
        <v>41</v>
      </c>
      <c r="J618" s="2">
        <v>45393</v>
      </c>
      <c r="K618" s="2">
        <v>45398</v>
      </c>
      <c r="L618" s="2">
        <v>45402</v>
      </c>
      <c r="M618" s="2">
        <v>45409</v>
      </c>
      <c r="N618" s="2">
        <v>45419</v>
      </c>
      <c r="O618">
        <v>1</v>
      </c>
      <c r="P618">
        <v>1</v>
      </c>
      <c r="Q618">
        <v>1</v>
      </c>
      <c r="R618">
        <v>0</v>
      </c>
      <c r="S618">
        <v>0</v>
      </c>
      <c r="T618" t="s">
        <v>49</v>
      </c>
      <c r="U618">
        <v>84</v>
      </c>
      <c r="W618">
        <v>13</v>
      </c>
      <c r="X618">
        <v>2705183</v>
      </c>
      <c r="Y618" t="s">
        <v>68</v>
      </c>
    </row>
    <row r="619" spans="1:25">
      <c r="A619" s="1" t="s">
        <v>688</v>
      </c>
      <c r="B619" t="s">
        <v>70</v>
      </c>
      <c r="C619" t="s">
        <v>47</v>
      </c>
      <c r="D619" t="s">
        <v>52</v>
      </c>
      <c r="E619" t="s">
        <v>54</v>
      </c>
      <c r="F619" t="s">
        <v>48</v>
      </c>
      <c r="G619" t="s">
        <v>39</v>
      </c>
      <c r="H619" t="s">
        <v>40</v>
      </c>
      <c r="I619" t="s">
        <v>33</v>
      </c>
      <c r="J619" s="2">
        <v>45113</v>
      </c>
      <c r="K619" s="2">
        <v>45114</v>
      </c>
      <c r="L619" s="2">
        <v>45119</v>
      </c>
      <c r="M619" s="2">
        <v>45123</v>
      </c>
      <c r="N619" s="2">
        <v>45141</v>
      </c>
      <c r="O619">
        <v>1</v>
      </c>
      <c r="P619">
        <v>1</v>
      </c>
      <c r="Q619">
        <v>1</v>
      </c>
      <c r="R619">
        <v>0</v>
      </c>
      <c r="S619">
        <v>0</v>
      </c>
      <c r="T619" t="s">
        <v>49</v>
      </c>
      <c r="U619">
        <v>76</v>
      </c>
      <c r="W619">
        <v>13</v>
      </c>
      <c r="X619">
        <v>1827323</v>
      </c>
      <c r="Y619" t="s">
        <v>87</v>
      </c>
    </row>
    <row r="620" spans="1:25">
      <c r="A620" s="1" t="s">
        <v>689</v>
      </c>
      <c r="B620" t="s">
        <v>43</v>
      </c>
      <c r="C620" t="s">
        <v>47</v>
      </c>
      <c r="D620" t="s">
        <v>28</v>
      </c>
      <c r="E620" t="s">
        <v>66</v>
      </c>
      <c r="F620" t="s">
        <v>38</v>
      </c>
      <c r="G620" t="s">
        <v>60</v>
      </c>
      <c r="H620" t="s">
        <v>40</v>
      </c>
      <c r="I620" t="s">
        <v>41</v>
      </c>
      <c r="J620" s="2">
        <v>45248</v>
      </c>
      <c r="K620" s="2">
        <v>45253</v>
      </c>
      <c r="L620" s="2">
        <v>45263</v>
      </c>
      <c r="M620" s="2">
        <v>45266</v>
      </c>
      <c r="N620" s="2">
        <v>45276</v>
      </c>
      <c r="O620">
        <v>1</v>
      </c>
      <c r="P620">
        <v>1</v>
      </c>
      <c r="Q620">
        <v>1</v>
      </c>
      <c r="R620">
        <v>0</v>
      </c>
      <c r="S620">
        <v>0</v>
      </c>
      <c r="T620" t="s">
        <v>49</v>
      </c>
      <c r="U620">
        <v>85</v>
      </c>
      <c r="W620">
        <v>15</v>
      </c>
      <c r="X620">
        <v>2960350</v>
      </c>
      <c r="Y620" t="s">
        <v>50</v>
      </c>
    </row>
    <row r="621" spans="1:25">
      <c r="A621" s="1" t="s">
        <v>690</v>
      </c>
      <c r="B621" t="s">
        <v>36</v>
      </c>
      <c r="C621" t="s">
        <v>47</v>
      </c>
      <c r="D621" t="s">
        <v>44</v>
      </c>
      <c r="E621" t="s">
        <v>102</v>
      </c>
      <c r="F621" t="s">
        <v>48</v>
      </c>
      <c r="G621" t="s">
        <v>60</v>
      </c>
      <c r="H621" t="s">
        <v>56</v>
      </c>
      <c r="I621" t="s">
        <v>41</v>
      </c>
      <c r="J621" s="2">
        <v>45315</v>
      </c>
      <c r="K621" s="2">
        <v>45317</v>
      </c>
      <c r="L621" s="2">
        <v>45321</v>
      </c>
      <c r="M621" s="2">
        <v>45324</v>
      </c>
      <c r="N621" s="2">
        <v>45337</v>
      </c>
      <c r="O621">
        <v>1</v>
      </c>
      <c r="P621">
        <v>1</v>
      </c>
      <c r="Q621">
        <v>0</v>
      </c>
      <c r="R621">
        <v>0</v>
      </c>
      <c r="S621">
        <v>0</v>
      </c>
      <c r="T621" t="s">
        <v>34</v>
      </c>
      <c r="U621">
        <v>78</v>
      </c>
      <c r="W621">
        <v>14</v>
      </c>
    </row>
    <row r="622" spans="1:25">
      <c r="A622" s="1" t="s">
        <v>691</v>
      </c>
      <c r="B622" t="s">
        <v>26</v>
      </c>
      <c r="C622" t="s">
        <v>27</v>
      </c>
      <c r="D622" t="s">
        <v>44</v>
      </c>
      <c r="E622" t="s">
        <v>63</v>
      </c>
      <c r="F622" t="s">
        <v>76</v>
      </c>
      <c r="G622" t="s">
        <v>39</v>
      </c>
      <c r="H622" t="s">
        <v>32</v>
      </c>
      <c r="I622" t="s">
        <v>41</v>
      </c>
      <c r="J622" s="2">
        <v>45021</v>
      </c>
      <c r="K622" s="2">
        <v>45024</v>
      </c>
      <c r="L622" s="2">
        <v>45030</v>
      </c>
      <c r="M622" s="2">
        <v>45035</v>
      </c>
      <c r="N622" s="2">
        <v>45039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74</v>
      </c>
      <c r="U622">
        <v>50</v>
      </c>
      <c r="W622">
        <v>1</v>
      </c>
    </row>
    <row r="623" spans="1:25">
      <c r="A623" s="1" t="s">
        <v>692</v>
      </c>
      <c r="B623" t="s">
        <v>90</v>
      </c>
      <c r="C623" t="s">
        <v>78</v>
      </c>
      <c r="D623" t="s">
        <v>52</v>
      </c>
      <c r="E623" t="s">
        <v>54</v>
      </c>
      <c r="F623" t="s">
        <v>67</v>
      </c>
      <c r="G623" t="s">
        <v>45</v>
      </c>
      <c r="H623" t="s">
        <v>56</v>
      </c>
      <c r="I623" t="s">
        <v>33</v>
      </c>
      <c r="J623" s="2">
        <v>45320</v>
      </c>
      <c r="K623" s="2">
        <v>45323</v>
      </c>
      <c r="L623" s="2">
        <v>45331</v>
      </c>
      <c r="M623" s="2">
        <v>45334</v>
      </c>
      <c r="N623" s="2">
        <v>45341</v>
      </c>
      <c r="O623">
        <v>1</v>
      </c>
      <c r="P623">
        <v>1</v>
      </c>
      <c r="Q623">
        <v>1</v>
      </c>
      <c r="R623">
        <v>0</v>
      </c>
      <c r="S623">
        <v>0</v>
      </c>
      <c r="T623" t="s">
        <v>49</v>
      </c>
      <c r="U623">
        <v>97</v>
      </c>
      <c r="W623">
        <v>9</v>
      </c>
      <c r="X623">
        <v>2144156</v>
      </c>
      <c r="Y623" t="s">
        <v>80</v>
      </c>
    </row>
    <row r="624" spans="1:25">
      <c r="A624" s="1" t="s">
        <v>693</v>
      </c>
      <c r="B624" t="s">
        <v>90</v>
      </c>
      <c r="C624" t="s">
        <v>71</v>
      </c>
      <c r="D624" t="s">
        <v>44</v>
      </c>
      <c r="E624" t="s">
        <v>66</v>
      </c>
      <c r="F624" t="s">
        <v>30</v>
      </c>
      <c r="G624" t="s">
        <v>60</v>
      </c>
      <c r="H624" t="s">
        <v>40</v>
      </c>
      <c r="I624" t="s">
        <v>41</v>
      </c>
      <c r="J624" s="2">
        <v>45403</v>
      </c>
      <c r="K624" s="2">
        <v>45405</v>
      </c>
      <c r="L624" s="2">
        <v>45413</v>
      </c>
      <c r="M624" s="2">
        <v>45419</v>
      </c>
      <c r="N624" s="2">
        <v>45424</v>
      </c>
      <c r="O624">
        <v>1</v>
      </c>
      <c r="P624">
        <v>1</v>
      </c>
      <c r="Q624">
        <v>1</v>
      </c>
      <c r="R624">
        <v>1</v>
      </c>
      <c r="S624">
        <v>0</v>
      </c>
      <c r="T624" t="s">
        <v>61</v>
      </c>
      <c r="U624">
        <v>88</v>
      </c>
      <c r="V624">
        <v>21</v>
      </c>
      <c r="W624">
        <v>4</v>
      </c>
      <c r="X624">
        <v>929370</v>
      </c>
    </row>
    <row r="625" spans="1:25">
      <c r="A625" s="1" t="s">
        <v>694</v>
      </c>
      <c r="B625" t="s">
        <v>58</v>
      </c>
      <c r="C625" t="s">
        <v>27</v>
      </c>
      <c r="D625" t="s">
        <v>52</v>
      </c>
      <c r="E625" t="s">
        <v>29</v>
      </c>
      <c r="F625" t="s">
        <v>64</v>
      </c>
      <c r="G625" t="s">
        <v>31</v>
      </c>
      <c r="H625" t="s">
        <v>40</v>
      </c>
      <c r="I625" t="s">
        <v>41</v>
      </c>
      <c r="J625" s="2">
        <v>45325</v>
      </c>
      <c r="K625" s="2">
        <v>45326</v>
      </c>
      <c r="L625" s="2">
        <v>45334</v>
      </c>
      <c r="M625" s="2">
        <v>45340</v>
      </c>
      <c r="N625" s="2">
        <v>45342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74</v>
      </c>
      <c r="U625">
        <v>75</v>
      </c>
      <c r="W625">
        <v>0</v>
      </c>
    </row>
    <row r="626" spans="1:25">
      <c r="A626" s="1" t="s">
        <v>695</v>
      </c>
      <c r="B626" t="s">
        <v>70</v>
      </c>
      <c r="C626" t="s">
        <v>71</v>
      </c>
      <c r="D626" t="s">
        <v>44</v>
      </c>
      <c r="E626" t="s">
        <v>29</v>
      </c>
      <c r="F626" t="s">
        <v>48</v>
      </c>
      <c r="G626" t="s">
        <v>39</v>
      </c>
      <c r="H626" t="s">
        <v>32</v>
      </c>
      <c r="I626" t="s">
        <v>33</v>
      </c>
      <c r="J626" s="2">
        <v>45367</v>
      </c>
      <c r="K626" s="2">
        <v>45371</v>
      </c>
      <c r="L626" s="2">
        <v>45381</v>
      </c>
      <c r="M626" s="2">
        <v>45385</v>
      </c>
      <c r="N626" s="2">
        <v>45393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74</v>
      </c>
      <c r="U626">
        <v>65</v>
      </c>
      <c r="W626">
        <v>3</v>
      </c>
    </row>
    <row r="627" spans="1:25">
      <c r="A627" s="1" t="s">
        <v>696</v>
      </c>
      <c r="B627" t="s">
        <v>36</v>
      </c>
      <c r="C627" t="s">
        <v>71</v>
      </c>
      <c r="D627" t="s">
        <v>52</v>
      </c>
      <c r="E627" t="s">
        <v>63</v>
      </c>
      <c r="F627" t="s">
        <v>48</v>
      </c>
      <c r="G627" t="s">
        <v>60</v>
      </c>
      <c r="H627" t="s">
        <v>56</v>
      </c>
      <c r="I627" t="s">
        <v>33</v>
      </c>
      <c r="J627" s="2">
        <v>45134</v>
      </c>
      <c r="K627" s="2">
        <v>45138</v>
      </c>
      <c r="L627" s="2">
        <v>45142</v>
      </c>
      <c r="M627" s="2">
        <v>45147</v>
      </c>
      <c r="N627" s="2">
        <v>45157</v>
      </c>
      <c r="O627">
        <v>1</v>
      </c>
      <c r="P627">
        <v>0</v>
      </c>
      <c r="Q627">
        <v>0</v>
      </c>
      <c r="R627">
        <v>0</v>
      </c>
      <c r="S627">
        <v>0</v>
      </c>
      <c r="T627" t="s">
        <v>34</v>
      </c>
      <c r="U627">
        <v>62</v>
      </c>
      <c r="W627">
        <v>7</v>
      </c>
    </row>
    <row r="628" spans="1:25">
      <c r="A628" s="1" t="s">
        <v>697</v>
      </c>
      <c r="B628" t="s">
        <v>70</v>
      </c>
      <c r="C628" t="s">
        <v>71</v>
      </c>
      <c r="D628" t="s">
        <v>59</v>
      </c>
      <c r="E628" t="s">
        <v>29</v>
      </c>
      <c r="F628" t="s">
        <v>76</v>
      </c>
      <c r="G628" t="s">
        <v>39</v>
      </c>
      <c r="H628" t="s">
        <v>32</v>
      </c>
      <c r="I628" t="s">
        <v>33</v>
      </c>
      <c r="J628" s="2">
        <v>45055</v>
      </c>
      <c r="K628" s="2">
        <v>45058</v>
      </c>
      <c r="L628" s="2">
        <v>45067</v>
      </c>
      <c r="M628" s="2">
        <v>45071</v>
      </c>
      <c r="N628" s="2">
        <v>45075</v>
      </c>
      <c r="O628">
        <v>1</v>
      </c>
      <c r="P628">
        <v>1</v>
      </c>
      <c r="Q628">
        <v>1</v>
      </c>
      <c r="R628">
        <v>0</v>
      </c>
      <c r="S628">
        <v>0</v>
      </c>
      <c r="T628" t="s">
        <v>49</v>
      </c>
      <c r="U628">
        <v>49</v>
      </c>
      <c r="W628">
        <v>5</v>
      </c>
      <c r="X628">
        <v>1213378</v>
      </c>
      <c r="Y628" t="s">
        <v>127</v>
      </c>
    </row>
    <row r="629" spans="1:25">
      <c r="A629" s="1" t="s">
        <v>698</v>
      </c>
      <c r="B629" t="s">
        <v>70</v>
      </c>
      <c r="C629" t="s">
        <v>37</v>
      </c>
      <c r="D629" t="s">
        <v>52</v>
      </c>
      <c r="E629" t="s">
        <v>66</v>
      </c>
      <c r="F629" t="s">
        <v>67</v>
      </c>
      <c r="G629" t="s">
        <v>60</v>
      </c>
      <c r="H629" t="s">
        <v>40</v>
      </c>
      <c r="I629" t="s">
        <v>33</v>
      </c>
      <c r="J629" s="2">
        <v>45223</v>
      </c>
      <c r="K629" s="2">
        <v>45228</v>
      </c>
      <c r="L629" s="2">
        <v>45235</v>
      </c>
      <c r="M629" s="2">
        <v>45241</v>
      </c>
      <c r="N629" s="2">
        <v>45252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74</v>
      </c>
      <c r="U629">
        <v>99</v>
      </c>
      <c r="W629">
        <v>2</v>
      </c>
    </row>
    <row r="630" spans="1:25">
      <c r="A630" s="1" t="s">
        <v>699</v>
      </c>
      <c r="B630" t="s">
        <v>90</v>
      </c>
      <c r="C630" t="s">
        <v>37</v>
      </c>
      <c r="D630" t="s">
        <v>44</v>
      </c>
      <c r="E630" t="s">
        <v>29</v>
      </c>
      <c r="F630" t="s">
        <v>64</v>
      </c>
      <c r="G630" t="s">
        <v>39</v>
      </c>
      <c r="H630" t="s">
        <v>56</v>
      </c>
      <c r="I630" t="s">
        <v>41</v>
      </c>
      <c r="J630" s="2">
        <v>45032</v>
      </c>
      <c r="K630" s="2">
        <v>45034</v>
      </c>
      <c r="L630" s="2">
        <v>45044</v>
      </c>
      <c r="M630" s="2">
        <v>45049</v>
      </c>
      <c r="N630" s="2">
        <v>45057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74</v>
      </c>
      <c r="U630">
        <v>70</v>
      </c>
      <c r="W630">
        <v>3</v>
      </c>
    </row>
    <row r="631" spans="1:25">
      <c r="A631" s="1" t="s">
        <v>700</v>
      </c>
      <c r="B631" t="s">
        <v>70</v>
      </c>
      <c r="C631" t="s">
        <v>47</v>
      </c>
      <c r="D631" t="s">
        <v>73</v>
      </c>
      <c r="E631" t="s">
        <v>29</v>
      </c>
      <c r="F631" t="s">
        <v>76</v>
      </c>
      <c r="G631" t="s">
        <v>55</v>
      </c>
      <c r="H631" t="s">
        <v>32</v>
      </c>
      <c r="I631" t="s">
        <v>41</v>
      </c>
      <c r="J631" s="2">
        <v>45024</v>
      </c>
      <c r="K631" s="2">
        <v>45028</v>
      </c>
      <c r="L631" s="2">
        <v>45036</v>
      </c>
      <c r="M631" s="2">
        <v>45039</v>
      </c>
      <c r="N631" s="2">
        <v>45061</v>
      </c>
      <c r="O631">
        <v>1</v>
      </c>
      <c r="P631">
        <v>1</v>
      </c>
      <c r="Q631">
        <v>1</v>
      </c>
      <c r="R631">
        <v>0</v>
      </c>
      <c r="S631">
        <v>0</v>
      </c>
      <c r="T631" t="s">
        <v>49</v>
      </c>
      <c r="U631">
        <v>57</v>
      </c>
      <c r="W631">
        <v>13</v>
      </c>
      <c r="X631">
        <v>2328316</v>
      </c>
      <c r="Y631" t="s">
        <v>127</v>
      </c>
    </row>
    <row r="632" spans="1:25">
      <c r="A632" s="1" t="s">
        <v>701</v>
      </c>
      <c r="B632" t="s">
        <v>70</v>
      </c>
      <c r="C632" t="s">
        <v>27</v>
      </c>
      <c r="D632" t="s">
        <v>73</v>
      </c>
      <c r="E632" t="s">
        <v>66</v>
      </c>
      <c r="F632" t="s">
        <v>67</v>
      </c>
      <c r="G632" t="s">
        <v>31</v>
      </c>
      <c r="H632" t="s">
        <v>32</v>
      </c>
      <c r="I632" t="s">
        <v>33</v>
      </c>
      <c r="J632" s="2">
        <v>45210</v>
      </c>
      <c r="K632" s="2">
        <v>45215</v>
      </c>
      <c r="L632" s="2">
        <v>45222</v>
      </c>
      <c r="M632" s="2">
        <v>45226</v>
      </c>
      <c r="N632" s="2">
        <v>45237</v>
      </c>
      <c r="O632">
        <v>1</v>
      </c>
      <c r="P632">
        <v>1</v>
      </c>
      <c r="Q632">
        <v>1</v>
      </c>
      <c r="R632">
        <v>1</v>
      </c>
      <c r="S632">
        <v>0</v>
      </c>
      <c r="T632" t="s">
        <v>61</v>
      </c>
      <c r="U632">
        <v>100</v>
      </c>
      <c r="V632">
        <v>27</v>
      </c>
      <c r="W632">
        <v>2</v>
      </c>
      <c r="X632">
        <v>629761</v>
      </c>
    </row>
    <row r="633" spans="1:25">
      <c r="A633" s="1" t="s">
        <v>702</v>
      </c>
      <c r="B633" t="s">
        <v>36</v>
      </c>
      <c r="C633" t="s">
        <v>37</v>
      </c>
      <c r="D633" t="s">
        <v>44</v>
      </c>
      <c r="E633" t="s">
        <v>54</v>
      </c>
      <c r="F633" t="s">
        <v>67</v>
      </c>
      <c r="G633" t="s">
        <v>45</v>
      </c>
      <c r="H633" t="s">
        <v>32</v>
      </c>
      <c r="I633" t="s">
        <v>33</v>
      </c>
      <c r="J633" s="2">
        <v>45117</v>
      </c>
      <c r="K633" s="2">
        <v>45122</v>
      </c>
      <c r="L633" s="2">
        <v>45131</v>
      </c>
      <c r="M633" s="2">
        <v>45134</v>
      </c>
      <c r="N633" s="2">
        <v>45145</v>
      </c>
      <c r="O633">
        <v>1</v>
      </c>
      <c r="P633">
        <v>0</v>
      </c>
      <c r="Q633">
        <v>0</v>
      </c>
      <c r="R633">
        <v>0</v>
      </c>
      <c r="S633">
        <v>0</v>
      </c>
      <c r="T633" t="s">
        <v>34</v>
      </c>
      <c r="U633">
        <v>54</v>
      </c>
      <c r="W633">
        <v>4</v>
      </c>
    </row>
    <row r="634" spans="1:25">
      <c r="A634" s="1" t="s">
        <v>703</v>
      </c>
      <c r="B634" t="s">
        <v>70</v>
      </c>
      <c r="C634" t="s">
        <v>27</v>
      </c>
      <c r="D634" t="s">
        <v>28</v>
      </c>
      <c r="E634" t="s">
        <v>63</v>
      </c>
      <c r="F634" t="s">
        <v>38</v>
      </c>
      <c r="G634" t="s">
        <v>31</v>
      </c>
      <c r="H634" t="s">
        <v>56</v>
      </c>
      <c r="I634" t="s">
        <v>33</v>
      </c>
      <c r="J634" s="2">
        <v>44975</v>
      </c>
      <c r="K634" s="2">
        <v>44977</v>
      </c>
      <c r="L634" s="2">
        <v>44981</v>
      </c>
      <c r="M634" s="2">
        <v>44986</v>
      </c>
      <c r="N634" s="2">
        <v>45003</v>
      </c>
      <c r="O634">
        <v>1</v>
      </c>
      <c r="P634">
        <v>1</v>
      </c>
      <c r="Q634">
        <v>0</v>
      </c>
      <c r="R634">
        <v>0</v>
      </c>
      <c r="S634">
        <v>0</v>
      </c>
      <c r="T634" t="s">
        <v>34</v>
      </c>
      <c r="U634">
        <v>75</v>
      </c>
      <c r="W634">
        <v>1</v>
      </c>
    </row>
    <row r="635" spans="1:25">
      <c r="A635" s="1" t="s">
        <v>704</v>
      </c>
      <c r="B635" t="s">
        <v>70</v>
      </c>
      <c r="C635" t="s">
        <v>78</v>
      </c>
      <c r="D635" t="s">
        <v>59</v>
      </c>
      <c r="E635" t="s">
        <v>66</v>
      </c>
      <c r="F635" t="s">
        <v>38</v>
      </c>
      <c r="G635" t="s">
        <v>31</v>
      </c>
      <c r="H635" t="s">
        <v>32</v>
      </c>
      <c r="I635" t="s">
        <v>33</v>
      </c>
      <c r="J635" s="2">
        <v>45068</v>
      </c>
      <c r="K635" s="2">
        <v>45069</v>
      </c>
      <c r="L635" s="2">
        <v>45073</v>
      </c>
      <c r="M635" s="2">
        <v>45076</v>
      </c>
      <c r="N635" s="2">
        <v>45106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74</v>
      </c>
      <c r="U635">
        <v>93</v>
      </c>
      <c r="W635">
        <v>10</v>
      </c>
    </row>
    <row r="636" spans="1:25">
      <c r="A636" s="1" t="s">
        <v>705</v>
      </c>
      <c r="B636" t="s">
        <v>43</v>
      </c>
      <c r="C636" t="s">
        <v>78</v>
      </c>
      <c r="D636" t="s">
        <v>52</v>
      </c>
      <c r="E636" t="s">
        <v>66</v>
      </c>
      <c r="F636" t="s">
        <v>38</v>
      </c>
      <c r="G636" t="s">
        <v>45</v>
      </c>
      <c r="H636" t="s">
        <v>56</v>
      </c>
      <c r="I636" t="s">
        <v>41</v>
      </c>
      <c r="J636" s="2">
        <v>45452</v>
      </c>
      <c r="K636" s="2">
        <v>45454</v>
      </c>
      <c r="L636" s="2">
        <v>45463</v>
      </c>
      <c r="M636" s="2">
        <v>45469</v>
      </c>
      <c r="N636" s="2">
        <v>45468</v>
      </c>
      <c r="O636">
        <v>1</v>
      </c>
      <c r="P636">
        <v>1</v>
      </c>
      <c r="Q636">
        <v>1</v>
      </c>
      <c r="R636">
        <v>1</v>
      </c>
      <c r="S636">
        <v>0</v>
      </c>
      <c r="T636" t="s">
        <v>61</v>
      </c>
      <c r="U636">
        <v>47</v>
      </c>
      <c r="V636">
        <v>16</v>
      </c>
      <c r="W636">
        <v>9</v>
      </c>
      <c r="X636">
        <v>1406638</v>
      </c>
    </row>
    <row r="637" spans="1:25">
      <c r="A637" s="1" t="s">
        <v>706</v>
      </c>
      <c r="B637" t="s">
        <v>58</v>
      </c>
      <c r="C637" t="s">
        <v>27</v>
      </c>
      <c r="D637" t="s">
        <v>52</v>
      </c>
      <c r="E637" t="s">
        <v>66</v>
      </c>
      <c r="F637" t="s">
        <v>30</v>
      </c>
      <c r="G637" t="s">
        <v>60</v>
      </c>
      <c r="H637" t="s">
        <v>32</v>
      </c>
      <c r="I637" t="s">
        <v>33</v>
      </c>
      <c r="J637" s="2">
        <v>44972</v>
      </c>
      <c r="K637" s="2">
        <v>44973</v>
      </c>
      <c r="L637" s="2">
        <v>44981</v>
      </c>
      <c r="M637" s="2">
        <v>44984</v>
      </c>
      <c r="N637" s="2">
        <v>44982</v>
      </c>
      <c r="O637">
        <v>0</v>
      </c>
      <c r="P637">
        <v>0</v>
      </c>
      <c r="Q637">
        <v>0</v>
      </c>
      <c r="R637">
        <v>0</v>
      </c>
      <c r="S637">
        <v>1</v>
      </c>
      <c r="T637" t="s">
        <v>74</v>
      </c>
      <c r="U637">
        <v>63</v>
      </c>
      <c r="W637">
        <v>0</v>
      </c>
    </row>
    <row r="638" spans="1:25">
      <c r="A638" s="1" t="s">
        <v>707</v>
      </c>
      <c r="B638" t="s">
        <v>36</v>
      </c>
      <c r="C638" t="s">
        <v>78</v>
      </c>
      <c r="D638" t="s">
        <v>52</v>
      </c>
      <c r="E638" t="s">
        <v>29</v>
      </c>
      <c r="F638" t="s">
        <v>48</v>
      </c>
      <c r="G638" t="s">
        <v>45</v>
      </c>
      <c r="H638" t="s">
        <v>40</v>
      </c>
      <c r="I638" t="s">
        <v>41</v>
      </c>
      <c r="J638" s="2">
        <v>44934</v>
      </c>
      <c r="K638" s="2">
        <v>44938</v>
      </c>
      <c r="L638" s="2">
        <v>44944</v>
      </c>
      <c r="M638" s="2">
        <v>44949</v>
      </c>
      <c r="N638" s="2">
        <v>44959</v>
      </c>
      <c r="O638">
        <v>1</v>
      </c>
      <c r="P638">
        <v>1</v>
      </c>
      <c r="Q638">
        <v>1</v>
      </c>
      <c r="R638">
        <v>1</v>
      </c>
      <c r="S638">
        <v>0</v>
      </c>
      <c r="T638" t="s">
        <v>61</v>
      </c>
      <c r="U638">
        <v>48</v>
      </c>
      <c r="V638">
        <v>25</v>
      </c>
      <c r="W638">
        <v>7</v>
      </c>
      <c r="X638">
        <v>1491627</v>
      </c>
    </row>
    <row r="639" spans="1:25">
      <c r="A639" s="1" t="s">
        <v>708</v>
      </c>
      <c r="B639" t="s">
        <v>26</v>
      </c>
      <c r="C639" t="s">
        <v>37</v>
      </c>
      <c r="D639" t="s">
        <v>73</v>
      </c>
      <c r="E639" t="s">
        <v>66</v>
      </c>
      <c r="F639" t="s">
        <v>48</v>
      </c>
      <c r="G639" t="s">
        <v>45</v>
      </c>
      <c r="H639" t="s">
        <v>56</v>
      </c>
      <c r="I639" t="s">
        <v>41</v>
      </c>
      <c r="J639" s="2">
        <v>45211</v>
      </c>
      <c r="K639" s="2">
        <v>45213</v>
      </c>
      <c r="L639" s="2">
        <v>45219</v>
      </c>
      <c r="M639" s="2">
        <v>45225</v>
      </c>
      <c r="N639" s="2">
        <v>45235</v>
      </c>
      <c r="O639">
        <v>1</v>
      </c>
      <c r="P639">
        <v>1</v>
      </c>
      <c r="Q639">
        <v>1</v>
      </c>
      <c r="R639">
        <v>0</v>
      </c>
      <c r="S639">
        <v>0</v>
      </c>
      <c r="T639" t="s">
        <v>49</v>
      </c>
      <c r="U639">
        <v>100</v>
      </c>
      <c r="W639">
        <v>3</v>
      </c>
      <c r="X639">
        <v>882840</v>
      </c>
      <c r="Y639" t="s">
        <v>87</v>
      </c>
    </row>
    <row r="640" spans="1:25">
      <c r="A640" s="1" t="s">
        <v>709</v>
      </c>
      <c r="B640" t="s">
        <v>90</v>
      </c>
      <c r="C640" t="s">
        <v>71</v>
      </c>
      <c r="D640" t="s">
        <v>44</v>
      </c>
      <c r="E640" t="s">
        <v>54</v>
      </c>
      <c r="F640" t="s">
        <v>76</v>
      </c>
      <c r="G640" t="s">
        <v>31</v>
      </c>
      <c r="H640" t="s">
        <v>40</v>
      </c>
      <c r="I640" t="s">
        <v>33</v>
      </c>
      <c r="J640" s="2">
        <v>45322</v>
      </c>
      <c r="K640" s="2">
        <v>45323</v>
      </c>
      <c r="L640" s="2">
        <v>45328</v>
      </c>
      <c r="M640" s="2">
        <v>45335</v>
      </c>
      <c r="N640" s="2">
        <v>45349</v>
      </c>
      <c r="O640">
        <v>1</v>
      </c>
      <c r="P640">
        <v>1</v>
      </c>
      <c r="Q640">
        <v>1</v>
      </c>
      <c r="R640">
        <v>1</v>
      </c>
      <c r="S640">
        <v>0</v>
      </c>
      <c r="T640" t="s">
        <v>61</v>
      </c>
      <c r="U640">
        <v>86</v>
      </c>
      <c r="V640">
        <v>27</v>
      </c>
      <c r="W640">
        <v>6</v>
      </c>
      <c r="X640">
        <v>1154260</v>
      </c>
    </row>
    <row r="641" spans="1:25">
      <c r="A641" s="1" t="s">
        <v>710</v>
      </c>
      <c r="B641" t="s">
        <v>90</v>
      </c>
      <c r="C641" t="s">
        <v>37</v>
      </c>
      <c r="D641" t="s">
        <v>28</v>
      </c>
      <c r="E641" t="s">
        <v>63</v>
      </c>
      <c r="F641" t="s">
        <v>48</v>
      </c>
      <c r="G641" t="s">
        <v>60</v>
      </c>
      <c r="H641" t="s">
        <v>40</v>
      </c>
      <c r="I641" t="s">
        <v>33</v>
      </c>
      <c r="J641" s="2">
        <v>45344</v>
      </c>
      <c r="K641" s="2">
        <v>45348</v>
      </c>
      <c r="L641" s="2">
        <v>45354</v>
      </c>
      <c r="M641" s="2">
        <v>45360</v>
      </c>
      <c r="N641" s="2">
        <v>45368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74</v>
      </c>
      <c r="U641">
        <v>85</v>
      </c>
      <c r="W641">
        <v>1</v>
      </c>
    </row>
    <row r="642" spans="1:25">
      <c r="A642" s="1" t="s">
        <v>711</v>
      </c>
      <c r="B642" t="s">
        <v>43</v>
      </c>
      <c r="C642" t="s">
        <v>37</v>
      </c>
      <c r="D642" t="s">
        <v>44</v>
      </c>
      <c r="E642" t="s">
        <v>29</v>
      </c>
      <c r="F642" t="s">
        <v>30</v>
      </c>
      <c r="G642" t="s">
        <v>60</v>
      </c>
      <c r="H642" t="s">
        <v>40</v>
      </c>
      <c r="I642" t="s">
        <v>41</v>
      </c>
      <c r="J642" s="2">
        <v>45096</v>
      </c>
      <c r="K642" s="2">
        <v>45100</v>
      </c>
      <c r="L642" s="2">
        <v>45106</v>
      </c>
      <c r="M642" s="2">
        <v>45111</v>
      </c>
      <c r="N642" s="2">
        <v>45113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74</v>
      </c>
      <c r="U642">
        <v>49</v>
      </c>
      <c r="W642">
        <v>2</v>
      </c>
    </row>
    <row r="643" spans="1:25">
      <c r="A643" s="1" t="s">
        <v>712</v>
      </c>
      <c r="B643" t="s">
        <v>70</v>
      </c>
      <c r="C643" t="s">
        <v>47</v>
      </c>
      <c r="D643" t="s">
        <v>59</v>
      </c>
      <c r="E643" t="s">
        <v>66</v>
      </c>
      <c r="F643" t="s">
        <v>67</v>
      </c>
      <c r="G643" t="s">
        <v>39</v>
      </c>
      <c r="H643" t="s">
        <v>40</v>
      </c>
      <c r="I643" t="s">
        <v>41</v>
      </c>
      <c r="J643" s="2">
        <v>45205</v>
      </c>
      <c r="K643" s="2">
        <v>45208</v>
      </c>
      <c r="L643" s="2">
        <v>45213</v>
      </c>
      <c r="M643" s="2">
        <v>45215</v>
      </c>
      <c r="N643" s="2">
        <v>45240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74</v>
      </c>
      <c r="U643">
        <v>53</v>
      </c>
      <c r="W643">
        <v>10</v>
      </c>
    </row>
    <row r="644" spans="1:25">
      <c r="A644" s="1" t="s">
        <v>713</v>
      </c>
      <c r="B644" t="s">
        <v>36</v>
      </c>
      <c r="C644" t="s">
        <v>37</v>
      </c>
      <c r="D644" t="s">
        <v>44</v>
      </c>
      <c r="E644" t="s">
        <v>54</v>
      </c>
      <c r="F644" t="s">
        <v>30</v>
      </c>
      <c r="G644" t="s">
        <v>31</v>
      </c>
      <c r="H644" t="s">
        <v>56</v>
      </c>
      <c r="I644" t="s">
        <v>41</v>
      </c>
      <c r="J644" s="2">
        <v>45339</v>
      </c>
      <c r="K644" s="2">
        <v>45341</v>
      </c>
      <c r="L644" s="2">
        <v>45345</v>
      </c>
      <c r="M644" s="2">
        <v>45347</v>
      </c>
      <c r="N644" s="2">
        <v>45365</v>
      </c>
      <c r="O644">
        <v>1</v>
      </c>
      <c r="P644">
        <v>1</v>
      </c>
      <c r="Q644">
        <v>0</v>
      </c>
      <c r="R644">
        <v>0</v>
      </c>
      <c r="S644">
        <v>0</v>
      </c>
      <c r="T644" t="s">
        <v>34</v>
      </c>
      <c r="U644">
        <v>46</v>
      </c>
      <c r="W644">
        <v>2</v>
      </c>
    </row>
    <row r="645" spans="1:25">
      <c r="A645" s="1" t="s">
        <v>714</v>
      </c>
      <c r="B645" t="s">
        <v>26</v>
      </c>
      <c r="C645" t="s">
        <v>37</v>
      </c>
      <c r="D645" t="s">
        <v>73</v>
      </c>
      <c r="E645" t="s">
        <v>102</v>
      </c>
      <c r="F645" t="s">
        <v>38</v>
      </c>
      <c r="G645" t="s">
        <v>45</v>
      </c>
      <c r="H645" t="s">
        <v>32</v>
      </c>
      <c r="I645" t="s">
        <v>41</v>
      </c>
      <c r="J645" s="2">
        <v>45234</v>
      </c>
      <c r="K645" s="2">
        <v>45237</v>
      </c>
      <c r="L645" s="2">
        <v>45247</v>
      </c>
      <c r="M645" s="2">
        <v>45251</v>
      </c>
      <c r="N645" s="2">
        <v>45254</v>
      </c>
      <c r="O645">
        <v>1</v>
      </c>
      <c r="P645">
        <v>1</v>
      </c>
      <c r="Q645">
        <v>1</v>
      </c>
      <c r="R645">
        <v>1</v>
      </c>
      <c r="S645">
        <v>0</v>
      </c>
      <c r="T645" t="s">
        <v>61</v>
      </c>
      <c r="U645">
        <v>59</v>
      </c>
      <c r="V645">
        <v>20</v>
      </c>
      <c r="W645">
        <v>2</v>
      </c>
      <c r="X645">
        <v>805370</v>
      </c>
    </row>
    <row r="646" spans="1:25">
      <c r="A646" s="1" t="s">
        <v>715</v>
      </c>
      <c r="B646" t="s">
        <v>26</v>
      </c>
      <c r="C646" t="s">
        <v>78</v>
      </c>
      <c r="D646" t="s">
        <v>44</v>
      </c>
      <c r="E646" t="s">
        <v>66</v>
      </c>
      <c r="F646" t="s">
        <v>30</v>
      </c>
      <c r="G646" t="s">
        <v>60</v>
      </c>
      <c r="H646" t="s">
        <v>56</v>
      </c>
      <c r="I646" t="s">
        <v>41</v>
      </c>
      <c r="J646" s="2">
        <v>45146</v>
      </c>
      <c r="K646" s="2">
        <v>45151</v>
      </c>
      <c r="L646" s="2">
        <v>45158</v>
      </c>
      <c r="M646" s="2">
        <v>45164</v>
      </c>
      <c r="N646" s="2">
        <v>45167</v>
      </c>
      <c r="O646">
        <v>1</v>
      </c>
      <c r="P646">
        <v>1</v>
      </c>
      <c r="Q646">
        <v>0</v>
      </c>
      <c r="R646">
        <v>0</v>
      </c>
      <c r="S646">
        <v>0</v>
      </c>
      <c r="T646" t="s">
        <v>34</v>
      </c>
      <c r="U646">
        <v>81</v>
      </c>
      <c r="W646">
        <v>7</v>
      </c>
    </row>
    <row r="647" spans="1:25">
      <c r="A647" s="1" t="s">
        <v>716</v>
      </c>
      <c r="B647" t="s">
        <v>36</v>
      </c>
      <c r="C647" t="s">
        <v>47</v>
      </c>
      <c r="D647" t="s">
        <v>59</v>
      </c>
      <c r="E647" t="s">
        <v>102</v>
      </c>
      <c r="F647" t="s">
        <v>67</v>
      </c>
      <c r="G647" t="s">
        <v>45</v>
      </c>
      <c r="H647" t="s">
        <v>32</v>
      </c>
      <c r="I647" t="s">
        <v>41</v>
      </c>
      <c r="J647" s="2">
        <v>44937</v>
      </c>
      <c r="K647" s="2">
        <v>44942</v>
      </c>
      <c r="L647" s="2">
        <v>44949</v>
      </c>
      <c r="M647" s="2">
        <v>44952</v>
      </c>
      <c r="N647" s="2">
        <v>44962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74</v>
      </c>
      <c r="U647">
        <v>50</v>
      </c>
      <c r="W647">
        <v>10</v>
      </c>
    </row>
    <row r="648" spans="1:25">
      <c r="A648" s="1" t="s">
        <v>717</v>
      </c>
      <c r="B648" t="s">
        <v>36</v>
      </c>
      <c r="C648" t="s">
        <v>71</v>
      </c>
      <c r="D648" t="s">
        <v>44</v>
      </c>
      <c r="E648" t="s">
        <v>102</v>
      </c>
      <c r="F648" t="s">
        <v>64</v>
      </c>
      <c r="G648" t="s">
        <v>55</v>
      </c>
      <c r="H648" t="s">
        <v>40</v>
      </c>
      <c r="I648" t="s">
        <v>33</v>
      </c>
      <c r="J648" s="2">
        <v>45437</v>
      </c>
      <c r="K648" s="2">
        <v>45442</v>
      </c>
      <c r="L648" s="2">
        <v>45447</v>
      </c>
      <c r="M648" s="2">
        <v>45450</v>
      </c>
      <c r="N648" s="2">
        <v>45456</v>
      </c>
      <c r="O648">
        <v>1</v>
      </c>
      <c r="P648">
        <v>1</v>
      </c>
      <c r="Q648">
        <v>0</v>
      </c>
      <c r="R648">
        <v>0</v>
      </c>
      <c r="S648">
        <v>0</v>
      </c>
      <c r="T648" t="s">
        <v>34</v>
      </c>
      <c r="U648">
        <v>98</v>
      </c>
      <c r="W648">
        <v>7</v>
      </c>
    </row>
    <row r="649" spans="1:25">
      <c r="A649" s="1" t="s">
        <v>718</v>
      </c>
      <c r="B649" t="s">
        <v>26</v>
      </c>
      <c r="C649" t="s">
        <v>27</v>
      </c>
      <c r="D649" t="s">
        <v>59</v>
      </c>
      <c r="E649" t="s">
        <v>29</v>
      </c>
      <c r="F649" t="s">
        <v>67</v>
      </c>
      <c r="G649" t="s">
        <v>60</v>
      </c>
      <c r="H649" t="s">
        <v>32</v>
      </c>
      <c r="I649" t="s">
        <v>33</v>
      </c>
      <c r="J649" s="2">
        <v>45259</v>
      </c>
      <c r="K649" s="2">
        <v>45260</v>
      </c>
      <c r="L649" s="2">
        <v>45264</v>
      </c>
      <c r="M649" s="2">
        <v>45270</v>
      </c>
      <c r="N649" s="2">
        <v>45276</v>
      </c>
      <c r="O649">
        <v>1</v>
      </c>
      <c r="P649">
        <v>0</v>
      </c>
      <c r="Q649">
        <v>0</v>
      </c>
      <c r="R649">
        <v>0</v>
      </c>
      <c r="S649">
        <v>0</v>
      </c>
      <c r="T649" t="s">
        <v>34</v>
      </c>
      <c r="U649">
        <v>74</v>
      </c>
      <c r="W649">
        <v>1</v>
      </c>
    </row>
    <row r="650" spans="1:25">
      <c r="A650" s="1" t="s">
        <v>719</v>
      </c>
      <c r="B650" t="s">
        <v>26</v>
      </c>
      <c r="C650" t="s">
        <v>47</v>
      </c>
      <c r="D650" t="s">
        <v>28</v>
      </c>
      <c r="E650" t="s">
        <v>63</v>
      </c>
      <c r="F650" t="s">
        <v>64</v>
      </c>
      <c r="G650" t="s">
        <v>31</v>
      </c>
      <c r="H650" t="s">
        <v>32</v>
      </c>
      <c r="I650" t="s">
        <v>41</v>
      </c>
      <c r="J650" s="2">
        <v>45219</v>
      </c>
      <c r="K650" s="2">
        <v>45220</v>
      </c>
      <c r="L650" s="2">
        <v>45225</v>
      </c>
      <c r="M650" s="2">
        <v>45228</v>
      </c>
      <c r="N650" s="2">
        <v>45239</v>
      </c>
      <c r="O650">
        <v>1</v>
      </c>
      <c r="P650">
        <v>1</v>
      </c>
      <c r="Q650">
        <v>0</v>
      </c>
      <c r="R650">
        <v>0</v>
      </c>
      <c r="S650">
        <v>1</v>
      </c>
      <c r="T650" t="s">
        <v>34</v>
      </c>
      <c r="U650">
        <v>98</v>
      </c>
      <c r="W650">
        <v>14</v>
      </c>
    </row>
    <row r="651" spans="1:25">
      <c r="A651" s="1" t="s">
        <v>720</v>
      </c>
      <c r="B651" t="s">
        <v>58</v>
      </c>
      <c r="C651" t="s">
        <v>47</v>
      </c>
      <c r="D651" t="s">
        <v>28</v>
      </c>
      <c r="E651" t="s">
        <v>63</v>
      </c>
      <c r="F651" t="s">
        <v>38</v>
      </c>
      <c r="G651" t="s">
        <v>31</v>
      </c>
      <c r="H651" t="s">
        <v>40</v>
      </c>
      <c r="I651" t="s">
        <v>33</v>
      </c>
      <c r="J651" s="2">
        <v>45003</v>
      </c>
      <c r="K651" s="2">
        <v>45006</v>
      </c>
      <c r="L651" s="2">
        <v>45012</v>
      </c>
      <c r="M651" s="2">
        <v>45018</v>
      </c>
      <c r="N651" s="2">
        <v>45022</v>
      </c>
      <c r="O651">
        <v>1</v>
      </c>
      <c r="P651">
        <v>1</v>
      </c>
      <c r="Q651">
        <v>1</v>
      </c>
      <c r="R651">
        <v>0</v>
      </c>
      <c r="S651">
        <v>0</v>
      </c>
      <c r="T651" t="s">
        <v>49</v>
      </c>
      <c r="U651">
        <v>93</v>
      </c>
      <c r="W651">
        <v>13</v>
      </c>
      <c r="X651">
        <v>2444843</v>
      </c>
      <c r="Y651" t="s">
        <v>68</v>
      </c>
    </row>
    <row r="652" spans="1:25">
      <c r="A652" s="1" t="s">
        <v>721</v>
      </c>
      <c r="B652" t="s">
        <v>26</v>
      </c>
      <c r="C652" t="s">
        <v>37</v>
      </c>
      <c r="D652" t="s">
        <v>52</v>
      </c>
      <c r="E652" t="s">
        <v>63</v>
      </c>
      <c r="F652" t="s">
        <v>67</v>
      </c>
      <c r="G652" t="s">
        <v>39</v>
      </c>
      <c r="H652" t="s">
        <v>40</v>
      </c>
      <c r="I652" t="s">
        <v>41</v>
      </c>
      <c r="J652" s="2">
        <v>44970</v>
      </c>
      <c r="K652" s="2">
        <v>44973</v>
      </c>
      <c r="L652" s="2">
        <v>44983</v>
      </c>
      <c r="M652" s="2">
        <v>44990</v>
      </c>
      <c r="N652" s="2">
        <v>44988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74</v>
      </c>
      <c r="U652">
        <v>81</v>
      </c>
      <c r="W652">
        <v>1</v>
      </c>
    </row>
    <row r="653" spans="1:25">
      <c r="A653" s="1" t="s">
        <v>722</v>
      </c>
      <c r="B653" t="s">
        <v>58</v>
      </c>
      <c r="C653" t="s">
        <v>78</v>
      </c>
      <c r="D653" t="s">
        <v>59</v>
      </c>
      <c r="E653" t="s">
        <v>63</v>
      </c>
      <c r="F653" t="s">
        <v>64</v>
      </c>
      <c r="G653" t="s">
        <v>39</v>
      </c>
      <c r="H653" t="s">
        <v>40</v>
      </c>
      <c r="I653" t="s">
        <v>33</v>
      </c>
      <c r="J653" s="2">
        <v>45186</v>
      </c>
      <c r="K653" s="2">
        <v>45191</v>
      </c>
      <c r="L653" s="2">
        <v>45198</v>
      </c>
      <c r="M653" s="2">
        <v>45204</v>
      </c>
      <c r="N653" s="2">
        <v>45207</v>
      </c>
      <c r="O653">
        <v>1</v>
      </c>
      <c r="P653">
        <v>1</v>
      </c>
      <c r="Q653">
        <v>1</v>
      </c>
      <c r="R653">
        <v>0</v>
      </c>
      <c r="S653">
        <v>0</v>
      </c>
      <c r="T653" t="s">
        <v>49</v>
      </c>
      <c r="U653">
        <v>95</v>
      </c>
      <c r="W653">
        <v>8</v>
      </c>
      <c r="X653">
        <v>2100682</v>
      </c>
      <c r="Y653" t="s">
        <v>80</v>
      </c>
    </row>
    <row r="654" spans="1:25">
      <c r="A654" s="1" t="s">
        <v>723</v>
      </c>
      <c r="B654" t="s">
        <v>70</v>
      </c>
      <c r="C654" t="s">
        <v>78</v>
      </c>
      <c r="D654" t="s">
        <v>44</v>
      </c>
      <c r="E654" t="s">
        <v>29</v>
      </c>
      <c r="F654" t="s">
        <v>67</v>
      </c>
      <c r="G654" t="s">
        <v>31</v>
      </c>
      <c r="H654" t="s">
        <v>40</v>
      </c>
      <c r="I654" t="s">
        <v>41</v>
      </c>
      <c r="J654" s="2">
        <v>45044</v>
      </c>
      <c r="K654" s="2">
        <v>45046</v>
      </c>
      <c r="L654" s="2">
        <v>45055</v>
      </c>
      <c r="M654" s="2">
        <v>45062</v>
      </c>
      <c r="N654" s="2">
        <v>45065</v>
      </c>
      <c r="O654">
        <v>1</v>
      </c>
      <c r="P654">
        <v>1</v>
      </c>
      <c r="Q654">
        <v>0</v>
      </c>
      <c r="R654">
        <v>0</v>
      </c>
      <c r="S654">
        <v>0</v>
      </c>
      <c r="T654" t="s">
        <v>34</v>
      </c>
      <c r="U654">
        <v>97</v>
      </c>
      <c r="W654">
        <v>6</v>
      </c>
    </row>
    <row r="655" spans="1:25">
      <c r="A655" s="1" t="s">
        <v>724</v>
      </c>
      <c r="B655" t="s">
        <v>70</v>
      </c>
      <c r="C655" t="s">
        <v>47</v>
      </c>
      <c r="D655" t="s">
        <v>73</v>
      </c>
      <c r="E655" t="s">
        <v>102</v>
      </c>
      <c r="F655" t="s">
        <v>48</v>
      </c>
      <c r="G655" t="s">
        <v>55</v>
      </c>
      <c r="H655" t="s">
        <v>56</v>
      </c>
      <c r="I655" t="s">
        <v>33</v>
      </c>
      <c r="J655" s="2">
        <v>44937</v>
      </c>
      <c r="K655" s="2">
        <v>44941</v>
      </c>
      <c r="L655" s="2">
        <v>44945</v>
      </c>
      <c r="M655" s="2">
        <v>44947</v>
      </c>
      <c r="N655" s="2">
        <v>44970</v>
      </c>
      <c r="O655">
        <v>1</v>
      </c>
      <c r="P655">
        <v>1</v>
      </c>
      <c r="Q655">
        <v>0</v>
      </c>
      <c r="R655">
        <v>0</v>
      </c>
      <c r="S655">
        <v>0</v>
      </c>
      <c r="T655" t="s">
        <v>34</v>
      </c>
      <c r="U655">
        <v>90</v>
      </c>
      <c r="W655">
        <v>13</v>
      </c>
    </row>
    <row r="656" spans="1:25">
      <c r="A656" s="1" t="s">
        <v>725</v>
      </c>
      <c r="B656" t="s">
        <v>70</v>
      </c>
      <c r="C656" t="s">
        <v>78</v>
      </c>
      <c r="D656" t="s">
        <v>44</v>
      </c>
      <c r="E656" t="s">
        <v>63</v>
      </c>
      <c r="F656" t="s">
        <v>48</v>
      </c>
      <c r="G656" t="s">
        <v>60</v>
      </c>
      <c r="H656" t="s">
        <v>56</v>
      </c>
      <c r="I656" t="s">
        <v>33</v>
      </c>
      <c r="J656" s="2">
        <v>44950</v>
      </c>
      <c r="K656" s="2">
        <v>44951</v>
      </c>
      <c r="L656" s="2">
        <v>44959</v>
      </c>
      <c r="M656" s="2">
        <v>44965</v>
      </c>
      <c r="N656" s="2">
        <v>44972</v>
      </c>
      <c r="O656">
        <v>0</v>
      </c>
      <c r="P656">
        <v>0</v>
      </c>
      <c r="Q656">
        <v>0</v>
      </c>
      <c r="R656">
        <v>0</v>
      </c>
      <c r="S656">
        <v>1</v>
      </c>
      <c r="T656" t="s">
        <v>74</v>
      </c>
      <c r="U656">
        <v>61</v>
      </c>
      <c r="W656">
        <v>7</v>
      </c>
    </row>
    <row r="657" spans="1:25">
      <c r="A657" s="1" t="s">
        <v>726</v>
      </c>
      <c r="B657" t="s">
        <v>36</v>
      </c>
      <c r="C657" t="s">
        <v>47</v>
      </c>
      <c r="D657" t="s">
        <v>73</v>
      </c>
      <c r="E657" t="s">
        <v>102</v>
      </c>
      <c r="F657" t="s">
        <v>76</v>
      </c>
      <c r="G657" t="s">
        <v>39</v>
      </c>
      <c r="H657" t="s">
        <v>40</v>
      </c>
      <c r="I657" t="s">
        <v>33</v>
      </c>
      <c r="J657" s="2">
        <v>45090</v>
      </c>
      <c r="K657" s="2">
        <v>45092</v>
      </c>
      <c r="L657" s="2">
        <v>45101</v>
      </c>
      <c r="M657" s="2">
        <v>45107</v>
      </c>
      <c r="N657" s="2">
        <v>45118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74</v>
      </c>
      <c r="U657">
        <v>74</v>
      </c>
      <c r="W657">
        <v>13</v>
      </c>
    </row>
    <row r="658" spans="1:25">
      <c r="A658" s="1" t="s">
        <v>727</v>
      </c>
      <c r="B658" t="s">
        <v>90</v>
      </c>
      <c r="C658" t="s">
        <v>37</v>
      </c>
      <c r="D658" t="s">
        <v>52</v>
      </c>
      <c r="E658" t="s">
        <v>29</v>
      </c>
      <c r="F658" t="s">
        <v>76</v>
      </c>
      <c r="G658" t="s">
        <v>39</v>
      </c>
      <c r="H658" t="s">
        <v>56</v>
      </c>
      <c r="I658" t="s">
        <v>33</v>
      </c>
      <c r="J658" s="2">
        <v>45351</v>
      </c>
      <c r="K658" s="2">
        <v>45354</v>
      </c>
      <c r="L658" s="2">
        <v>45357</v>
      </c>
      <c r="M658" s="2">
        <v>45359</v>
      </c>
      <c r="N658" s="2">
        <v>45374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74</v>
      </c>
      <c r="U658">
        <v>55</v>
      </c>
      <c r="W658">
        <v>4</v>
      </c>
    </row>
    <row r="659" spans="1:25">
      <c r="A659" s="1" t="s">
        <v>728</v>
      </c>
      <c r="B659" t="s">
        <v>26</v>
      </c>
      <c r="C659" t="s">
        <v>71</v>
      </c>
      <c r="D659" t="s">
        <v>52</v>
      </c>
      <c r="E659" t="s">
        <v>54</v>
      </c>
      <c r="F659" t="s">
        <v>67</v>
      </c>
      <c r="G659" t="s">
        <v>45</v>
      </c>
      <c r="H659" t="s">
        <v>40</v>
      </c>
      <c r="I659" t="s">
        <v>33</v>
      </c>
      <c r="J659" s="2">
        <v>44948</v>
      </c>
      <c r="K659" s="2">
        <v>44953</v>
      </c>
      <c r="L659" s="2">
        <v>44962</v>
      </c>
      <c r="M659" s="2">
        <v>44969</v>
      </c>
      <c r="N659" s="2">
        <v>44966</v>
      </c>
      <c r="O659">
        <v>1</v>
      </c>
      <c r="P659">
        <v>0</v>
      </c>
      <c r="Q659">
        <v>0</v>
      </c>
      <c r="R659">
        <v>0</v>
      </c>
      <c r="S659">
        <v>0</v>
      </c>
      <c r="T659" t="s">
        <v>34</v>
      </c>
      <c r="U659">
        <v>82</v>
      </c>
      <c r="W659">
        <v>7</v>
      </c>
    </row>
    <row r="660" spans="1:25">
      <c r="A660" s="1" t="s">
        <v>729</v>
      </c>
      <c r="B660" t="s">
        <v>26</v>
      </c>
      <c r="C660" t="s">
        <v>47</v>
      </c>
      <c r="D660" t="s">
        <v>73</v>
      </c>
      <c r="E660" t="s">
        <v>29</v>
      </c>
      <c r="F660" t="s">
        <v>76</v>
      </c>
      <c r="G660" t="s">
        <v>60</v>
      </c>
      <c r="H660" t="s">
        <v>40</v>
      </c>
      <c r="I660" t="s">
        <v>41</v>
      </c>
      <c r="J660" s="2">
        <v>45206</v>
      </c>
      <c r="K660" s="2">
        <v>45209</v>
      </c>
      <c r="L660" s="2">
        <v>45219</v>
      </c>
      <c r="M660" s="2">
        <v>45225</v>
      </c>
      <c r="N660" s="2">
        <v>45225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74</v>
      </c>
      <c r="U660">
        <v>79</v>
      </c>
      <c r="W660">
        <v>14</v>
      </c>
    </row>
    <row r="661" spans="1:25">
      <c r="A661" s="1" t="s">
        <v>730</v>
      </c>
      <c r="B661" t="s">
        <v>36</v>
      </c>
      <c r="C661" t="s">
        <v>78</v>
      </c>
      <c r="D661" t="s">
        <v>44</v>
      </c>
      <c r="E661" t="s">
        <v>102</v>
      </c>
      <c r="F661" t="s">
        <v>48</v>
      </c>
      <c r="G661" t="s">
        <v>60</v>
      </c>
      <c r="H661" t="s">
        <v>32</v>
      </c>
      <c r="I661" t="s">
        <v>41</v>
      </c>
      <c r="J661" s="2">
        <v>45048</v>
      </c>
      <c r="K661" s="2">
        <v>45051</v>
      </c>
      <c r="L661" s="2">
        <v>45055</v>
      </c>
      <c r="M661" s="2">
        <v>45060</v>
      </c>
      <c r="N661" s="2">
        <v>45076</v>
      </c>
      <c r="O661">
        <v>1</v>
      </c>
      <c r="P661">
        <v>0</v>
      </c>
      <c r="Q661">
        <v>0</v>
      </c>
      <c r="R661">
        <v>0</v>
      </c>
      <c r="S661">
        <v>0</v>
      </c>
      <c r="T661" t="s">
        <v>34</v>
      </c>
      <c r="U661">
        <v>68</v>
      </c>
      <c r="W661">
        <v>6</v>
      </c>
    </row>
    <row r="662" spans="1:25">
      <c r="A662" s="1" t="s">
        <v>731</v>
      </c>
      <c r="B662" t="s">
        <v>36</v>
      </c>
      <c r="C662" t="s">
        <v>78</v>
      </c>
      <c r="D662" t="s">
        <v>52</v>
      </c>
      <c r="E662" t="s">
        <v>29</v>
      </c>
      <c r="F662" t="s">
        <v>64</v>
      </c>
      <c r="G662" t="s">
        <v>55</v>
      </c>
      <c r="H662" t="s">
        <v>40</v>
      </c>
      <c r="I662" t="s">
        <v>33</v>
      </c>
      <c r="J662" s="2">
        <v>45187</v>
      </c>
      <c r="K662" s="2">
        <v>45192</v>
      </c>
      <c r="L662" s="2">
        <v>45195</v>
      </c>
      <c r="M662" s="2">
        <v>45201</v>
      </c>
      <c r="N662" s="2">
        <v>45217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74</v>
      </c>
      <c r="U662">
        <v>52</v>
      </c>
      <c r="W662">
        <v>6</v>
      </c>
    </row>
    <row r="663" spans="1:25">
      <c r="A663" s="1" t="s">
        <v>732</v>
      </c>
      <c r="B663" t="s">
        <v>26</v>
      </c>
      <c r="C663" t="s">
        <v>71</v>
      </c>
      <c r="D663" t="s">
        <v>44</v>
      </c>
      <c r="E663" t="s">
        <v>63</v>
      </c>
      <c r="F663" t="s">
        <v>67</v>
      </c>
      <c r="G663" t="s">
        <v>31</v>
      </c>
      <c r="H663" t="s">
        <v>32</v>
      </c>
      <c r="I663" t="s">
        <v>41</v>
      </c>
      <c r="J663" s="2">
        <v>44932</v>
      </c>
      <c r="K663" s="2">
        <v>44935</v>
      </c>
      <c r="L663" s="2">
        <v>44943</v>
      </c>
      <c r="M663" s="2">
        <v>44950</v>
      </c>
      <c r="N663" s="2">
        <v>44955</v>
      </c>
      <c r="O663">
        <v>1</v>
      </c>
      <c r="P663">
        <v>1</v>
      </c>
      <c r="Q663">
        <v>0</v>
      </c>
      <c r="R663">
        <v>0</v>
      </c>
      <c r="S663">
        <v>0</v>
      </c>
      <c r="T663" t="s">
        <v>34</v>
      </c>
      <c r="U663">
        <v>91</v>
      </c>
      <c r="W663">
        <v>3</v>
      </c>
    </row>
    <row r="664" spans="1:25">
      <c r="A664" s="1" t="s">
        <v>733</v>
      </c>
      <c r="B664" t="s">
        <v>58</v>
      </c>
      <c r="C664" t="s">
        <v>71</v>
      </c>
      <c r="D664" t="s">
        <v>44</v>
      </c>
      <c r="E664" t="s">
        <v>29</v>
      </c>
      <c r="F664" t="s">
        <v>76</v>
      </c>
      <c r="G664" t="s">
        <v>55</v>
      </c>
      <c r="H664" t="s">
        <v>32</v>
      </c>
      <c r="I664" t="s">
        <v>33</v>
      </c>
      <c r="J664" s="2">
        <v>45404</v>
      </c>
      <c r="K664" s="2">
        <v>45405</v>
      </c>
      <c r="L664" s="2">
        <v>45414</v>
      </c>
      <c r="M664" s="2">
        <v>45421</v>
      </c>
      <c r="N664" s="2">
        <v>45419</v>
      </c>
      <c r="O664">
        <v>1</v>
      </c>
      <c r="P664">
        <v>1</v>
      </c>
      <c r="Q664">
        <v>0</v>
      </c>
      <c r="R664">
        <v>0</v>
      </c>
      <c r="S664">
        <v>0</v>
      </c>
      <c r="T664" t="s">
        <v>34</v>
      </c>
      <c r="U664">
        <v>94</v>
      </c>
      <c r="W664">
        <v>4</v>
      </c>
    </row>
    <row r="665" spans="1:25">
      <c r="A665" s="1" t="s">
        <v>734</v>
      </c>
      <c r="B665" t="s">
        <v>70</v>
      </c>
      <c r="C665" t="s">
        <v>71</v>
      </c>
      <c r="D665" t="s">
        <v>28</v>
      </c>
      <c r="E665" t="s">
        <v>54</v>
      </c>
      <c r="F665" t="s">
        <v>76</v>
      </c>
      <c r="G665" t="s">
        <v>39</v>
      </c>
      <c r="H665" t="s">
        <v>56</v>
      </c>
      <c r="I665" t="s">
        <v>41</v>
      </c>
      <c r="J665" s="2">
        <v>45109</v>
      </c>
      <c r="K665" s="2">
        <v>45113</v>
      </c>
      <c r="L665" s="2">
        <v>45119</v>
      </c>
      <c r="M665" s="2">
        <v>45121</v>
      </c>
      <c r="N665" s="2">
        <v>45138</v>
      </c>
      <c r="O665">
        <v>1</v>
      </c>
      <c r="P665">
        <v>1</v>
      </c>
      <c r="Q665">
        <v>1</v>
      </c>
      <c r="R665">
        <v>0</v>
      </c>
      <c r="S665">
        <v>0</v>
      </c>
      <c r="T665" t="s">
        <v>49</v>
      </c>
      <c r="U665">
        <v>93</v>
      </c>
      <c r="W665">
        <v>4</v>
      </c>
      <c r="X665">
        <v>934165</v>
      </c>
      <c r="Y665" t="s">
        <v>127</v>
      </c>
    </row>
    <row r="666" spans="1:25">
      <c r="A666" s="1" t="s">
        <v>735</v>
      </c>
      <c r="B666" t="s">
        <v>26</v>
      </c>
      <c r="C666" t="s">
        <v>78</v>
      </c>
      <c r="D666" t="s">
        <v>73</v>
      </c>
      <c r="E666" t="s">
        <v>102</v>
      </c>
      <c r="F666" t="s">
        <v>67</v>
      </c>
      <c r="G666" t="s">
        <v>39</v>
      </c>
      <c r="H666" t="s">
        <v>56</v>
      </c>
      <c r="I666" t="s">
        <v>33</v>
      </c>
      <c r="J666" s="2">
        <v>45062</v>
      </c>
      <c r="K666" s="2">
        <v>45065</v>
      </c>
      <c r="L666" s="2">
        <v>45073</v>
      </c>
      <c r="M666" s="2">
        <v>45079</v>
      </c>
      <c r="N666" s="2">
        <v>45084</v>
      </c>
      <c r="O666">
        <v>1</v>
      </c>
      <c r="P666">
        <v>1</v>
      </c>
      <c r="Q666">
        <v>1</v>
      </c>
      <c r="R666">
        <v>0</v>
      </c>
      <c r="S666">
        <v>0</v>
      </c>
      <c r="T666" t="s">
        <v>49</v>
      </c>
      <c r="U666">
        <v>54</v>
      </c>
      <c r="W666">
        <v>7</v>
      </c>
      <c r="X666">
        <v>1917810</v>
      </c>
      <c r="Y666" t="s">
        <v>80</v>
      </c>
    </row>
    <row r="667" spans="1:25">
      <c r="A667" s="1" t="s">
        <v>736</v>
      </c>
      <c r="B667" t="s">
        <v>70</v>
      </c>
      <c r="C667" t="s">
        <v>71</v>
      </c>
      <c r="D667" t="s">
        <v>73</v>
      </c>
      <c r="E667" t="s">
        <v>54</v>
      </c>
      <c r="F667" t="s">
        <v>30</v>
      </c>
      <c r="G667" t="s">
        <v>55</v>
      </c>
      <c r="H667" t="s">
        <v>40</v>
      </c>
      <c r="I667" t="s">
        <v>33</v>
      </c>
      <c r="J667" s="2">
        <v>45426</v>
      </c>
      <c r="K667" s="2">
        <v>45431</v>
      </c>
      <c r="L667" s="2">
        <v>45439</v>
      </c>
      <c r="M667" s="2">
        <v>45444</v>
      </c>
      <c r="N667" s="2">
        <v>45465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74</v>
      </c>
      <c r="U667">
        <v>73</v>
      </c>
      <c r="W667">
        <v>7</v>
      </c>
    </row>
    <row r="668" spans="1:25">
      <c r="A668" s="1" t="s">
        <v>737</v>
      </c>
      <c r="B668" t="s">
        <v>70</v>
      </c>
      <c r="C668" t="s">
        <v>78</v>
      </c>
      <c r="D668" t="s">
        <v>59</v>
      </c>
      <c r="E668" t="s">
        <v>54</v>
      </c>
      <c r="F668" t="s">
        <v>76</v>
      </c>
      <c r="G668" t="s">
        <v>45</v>
      </c>
      <c r="H668" t="s">
        <v>40</v>
      </c>
      <c r="I668" t="s">
        <v>33</v>
      </c>
      <c r="J668" s="2">
        <v>45086</v>
      </c>
      <c r="K668" s="2">
        <v>45091</v>
      </c>
      <c r="L668" s="2">
        <v>45097</v>
      </c>
      <c r="M668" s="2">
        <v>45103</v>
      </c>
      <c r="N668" s="2">
        <v>45113</v>
      </c>
      <c r="O668">
        <v>1</v>
      </c>
      <c r="P668">
        <v>1</v>
      </c>
      <c r="Q668">
        <v>0</v>
      </c>
      <c r="R668">
        <v>0</v>
      </c>
      <c r="S668">
        <v>0</v>
      </c>
      <c r="T668" t="s">
        <v>34</v>
      </c>
      <c r="U668">
        <v>52</v>
      </c>
      <c r="W668">
        <v>7</v>
      </c>
    </row>
    <row r="669" spans="1:25">
      <c r="A669" s="1" t="s">
        <v>738</v>
      </c>
      <c r="B669" t="s">
        <v>90</v>
      </c>
      <c r="C669" t="s">
        <v>71</v>
      </c>
      <c r="D669" t="s">
        <v>28</v>
      </c>
      <c r="E669" t="s">
        <v>54</v>
      </c>
      <c r="F669" t="s">
        <v>30</v>
      </c>
      <c r="G669" t="s">
        <v>45</v>
      </c>
      <c r="H669" t="s">
        <v>56</v>
      </c>
      <c r="I669" t="s">
        <v>41</v>
      </c>
      <c r="J669" s="2">
        <v>45457</v>
      </c>
      <c r="K669" s="2">
        <v>45461</v>
      </c>
      <c r="L669" s="2">
        <v>45466</v>
      </c>
      <c r="M669" s="2">
        <v>45470</v>
      </c>
      <c r="N669" s="2">
        <v>45485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74</v>
      </c>
      <c r="U669">
        <v>73</v>
      </c>
      <c r="W669">
        <v>6</v>
      </c>
    </row>
    <row r="670" spans="1:25">
      <c r="A670" s="1" t="s">
        <v>739</v>
      </c>
      <c r="B670" t="s">
        <v>70</v>
      </c>
      <c r="C670" t="s">
        <v>27</v>
      </c>
      <c r="D670" t="s">
        <v>44</v>
      </c>
      <c r="E670" t="s">
        <v>66</v>
      </c>
      <c r="F670" t="s">
        <v>38</v>
      </c>
      <c r="G670" t="s">
        <v>45</v>
      </c>
      <c r="H670" t="s">
        <v>56</v>
      </c>
      <c r="I670" t="s">
        <v>33</v>
      </c>
      <c r="J670" s="2">
        <v>45154</v>
      </c>
      <c r="K670" s="2">
        <v>45157</v>
      </c>
      <c r="L670" s="2">
        <v>45160</v>
      </c>
      <c r="M670" s="2">
        <v>45163</v>
      </c>
      <c r="N670" s="2">
        <v>45188</v>
      </c>
      <c r="O670">
        <v>1</v>
      </c>
      <c r="P670">
        <v>0</v>
      </c>
      <c r="Q670">
        <v>0</v>
      </c>
      <c r="R670">
        <v>0</v>
      </c>
      <c r="S670">
        <v>0</v>
      </c>
      <c r="T670" t="s">
        <v>34</v>
      </c>
      <c r="U670">
        <v>71</v>
      </c>
      <c r="W670">
        <v>0</v>
      </c>
    </row>
    <row r="671" spans="1:25">
      <c r="A671" s="1" t="s">
        <v>740</v>
      </c>
      <c r="B671" t="s">
        <v>70</v>
      </c>
      <c r="C671" t="s">
        <v>37</v>
      </c>
      <c r="D671" t="s">
        <v>44</v>
      </c>
      <c r="E671" t="s">
        <v>54</v>
      </c>
      <c r="F671" t="s">
        <v>38</v>
      </c>
      <c r="G671" t="s">
        <v>45</v>
      </c>
      <c r="H671" t="s">
        <v>56</v>
      </c>
      <c r="I671" t="s">
        <v>41</v>
      </c>
      <c r="J671" s="2">
        <v>44980</v>
      </c>
      <c r="K671" s="2">
        <v>44982</v>
      </c>
      <c r="L671" s="2">
        <v>44989</v>
      </c>
      <c r="M671" s="2">
        <v>44993</v>
      </c>
      <c r="N671" s="2">
        <v>45018</v>
      </c>
      <c r="O671">
        <v>1</v>
      </c>
      <c r="P671">
        <v>1</v>
      </c>
      <c r="Q671">
        <v>1</v>
      </c>
      <c r="R671">
        <v>0</v>
      </c>
      <c r="S671">
        <v>0</v>
      </c>
      <c r="T671" t="s">
        <v>49</v>
      </c>
      <c r="U671">
        <v>93</v>
      </c>
      <c r="W671">
        <v>4</v>
      </c>
      <c r="X671">
        <v>699011</v>
      </c>
      <c r="Y671" t="s">
        <v>50</v>
      </c>
    </row>
    <row r="672" spans="1:25">
      <c r="A672" s="1" t="s">
        <v>741</v>
      </c>
      <c r="B672" t="s">
        <v>70</v>
      </c>
      <c r="C672" t="s">
        <v>78</v>
      </c>
      <c r="D672" t="s">
        <v>73</v>
      </c>
      <c r="E672" t="s">
        <v>66</v>
      </c>
      <c r="F672" t="s">
        <v>64</v>
      </c>
      <c r="G672" t="s">
        <v>39</v>
      </c>
      <c r="H672" t="s">
        <v>40</v>
      </c>
      <c r="I672" t="s">
        <v>41</v>
      </c>
      <c r="J672" s="2">
        <v>45216</v>
      </c>
      <c r="K672" s="2">
        <v>45217</v>
      </c>
      <c r="L672" s="2">
        <v>45222</v>
      </c>
      <c r="M672" s="2">
        <v>45229</v>
      </c>
      <c r="N672" s="2">
        <v>45241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74</v>
      </c>
      <c r="U672">
        <v>55</v>
      </c>
      <c r="W672">
        <v>10</v>
      </c>
    </row>
    <row r="673" spans="1:25">
      <c r="A673" s="1" t="s">
        <v>742</v>
      </c>
      <c r="B673" t="s">
        <v>43</v>
      </c>
      <c r="C673" t="s">
        <v>71</v>
      </c>
      <c r="D673" t="s">
        <v>73</v>
      </c>
      <c r="E673" t="s">
        <v>29</v>
      </c>
      <c r="F673" t="s">
        <v>48</v>
      </c>
      <c r="G673" t="s">
        <v>55</v>
      </c>
      <c r="H673" t="s">
        <v>32</v>
      </c>
      <c r="I673" t="s">
        <v>33</v>
      </c>
      <c r="J673" s="2">
        <v>45447</v>
      </c>
      <c r="K673" s="2">
        <v>45449</v>
      </c>
      <c r="L673" s="2">
        <v>45455</v>
      </c>
      <c r="M673" s="2">
        <v>45459</v>
      </c>
      <c r="N673" s="2">
        <v>45463</v>
      </c>
      <c r="O673">
        <v>1</v>
      </c>
      <c r="P673">
        <v>1</v>
      </c>
      <c r="Q673">
        <v>1</v>
      </c>
      <c r="R673">
        <v>1</v>
      </c>
      <c r="S673">
        <v>0</v>
      </c>
      <c r="T673" t="s">
        <v>61</v>
      </c>
      <c r="U673">
        <v>83</v>
      </c>
      <c r="V673">
        <v>16</v>
      </c>
      <c r="W673">
        <v>7</v>
      </c>
      <c r="X673">
        <v>1359562</v>
      </c>
    </row>
    <row r="674" spans="1:25">
      <c r="A674" s="1" t="s">
        <v>743</v>
      </c>
      <c r="B674" t="s">
        <v>26</v>
      </c>
      <c r="C674" t="s">
        <v>78</v>
      </c>
      <c r="D674" t="s">
        <v>44</v>
      </c>
      <c r="E674" t="s">
        <v>102</v>
      </c>
      <c r="F674" t="s">
        <v>64</v>
      </c>
      <c r="G674" t="s">
        <v>39</v>
      </c>
      <c r="H674" t="s">
        <v>32</v>
      </c>
      <c r="I674" t="s">
        <v>41</v>
      </c>
      <c r="J674" s="2">
        <v>45264</v>
      </c>
      <c r="K674" s="2">
        <v>45265</v>
      </c>
      <c r="L674" s="2">
        <v>45274</v>
      </c>
      <c r="M674" s="2">
        <v>45281</v>
      </c>
      <c r="N674" s="2">
        <v>45278</v>
      </c>
      <c r="O674">
        <v>1</v>
      </c>
      <c r="P674">
        <v>0</v>
      </c>
      <c r="Q674">
        <v>0</v>
      </c>
      <c r="R674">
        <v>0</v>
      </c>
      <c r="S674">
        <v>0</v>
      </c>
      <c r="T674" t="s">
        <v>34</v>
      </c>
      <c r="U674">
        <v>68</v>
      </c>
      <c r="W674">
        <v>10</v>
      </c>
    </row>
    <row r="675" spans="1:25">
      <c r="A675" s="1" t="s">
        <v>744</v>
      </c>
      <c r="B675" t="s">
        <v>43</v>
      </c>
      <c r="C675" t="s">
        <v>37</v>
      </c>
      <c r="D675" t="s">
        <v>52</v>
      </c>
      <c r="E675" t="s">
        <v>63</v>
      </c>
      <c r="F675" t="s">
        <v>30</v>
      </c>
      <c r="G675" t="s">
        <v>39</v>
      </c>
      <c r="H675" t="s">
        <v>56</v>
      </c>
      <c r="I675" t="s">
        <v>41</v>
      </c>
      <c r="J675" s="2">
        <v>45453</v>
      </c>
      <c r="K675" s="2">
        <v>45455</v>
      </c>
      <c r="L675" s="2">
        <v>45458</v>
      </c>
      <c r="M675" s="2">
        <v>45464</v>
      </c>
      <c r="N675" s="2">
        <v>45477</v>
      </c>
      <c r="O675">
        <v>1</v>
      </c>
      <c r="P675">
        <v>1</v>
      </c>
      <c r="Q675">
        <v>1</v>
      </c>
      <c r="R675">
        <v>0</v>
      </c>
      <c r="S675">
        <v>0</v>
      </c>
      <c r="T675" t="s">
        <v>49</v>
      </c>
      <c r="U675">
        <v>55</v>
      </c>
      <c r="W675">
        <v>2</v>
      </c>
      <c r="X675">
        <v>589470</v>
      </c>
      <c r="Y675" t="s">
        <v>80</v>
      </c>
    </row>
    <row r="676" spans="1:25">
      <c r="A676" s="1" t="s">
        <v>745</v>
      </c>
      <c r="B676" t="s">
        <v>43</v>
      </c>
      <c r="C676" t="s">
        <v>71</v>
      </c>
      <c r="D676" t="s">
        <v>59</v>
      </c>
      <c r="E676" t="s">
        <v>66</v>
      </c>
      <c r="F676" t="s">
        <v>76</v>
      </c>
      <c r="G676" t="s">
        <v>55</v>
      </c>
      <c r="H676" t="s">
        <v>56</v>
      </c>
      <c r="I676" t="s">
        <v>41</v>
      </c>
      <c r="J676" s="2">
        <v>45222</v>
      </c>
      <c r="K676" s="2">
        <v>45226</v>
      </c>
      <c r="L676" s="2">
        <v>45229</v>
      </c>
      <c r="M676" s="2">
        <v>45231</v>
      </c>
      <c r="N676" s="2">
        <v>45247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74</v>
      </c>
      <c r="U676">
        <v>92</v>
      </c>
      <c r="W676">
        <v>7</v>
      </c>
    </row>
    <row r="677" spans="1:25">
      <c r="A677" s="1" t="s">
        <v>746</v>
      </c>
      <c r="B677" t="s">
        <v>26</v>
      </c>
      <c r="C677" t="s">
        <v>71</v>
      </c>
      <c r="D677" t="s">
        <v>59</v>
      </c>
      <c r="E677" t="s">
        <v>102</v>
      </c>
      <c r="F677" t="s">
        <v>67</v>
      </c>
      <c r="G677" t="s">
        <v>39</v>
      </c>
      <c r="H677" t="s">
        <v>56</v>
      </c>
      <c r="I677" t="s">
        <v>33</v>
      </c>
      <c r="J677" s="2">
        <v>45213</v>
      </c>
      <c r="K677" s="2">
        <v>45215</v>
      </c>
      <c r="L677" s="2">
        <v>45222</v>
      </c>
      <c r="M677" s="2">
        <v>45226</v>
      </c>
      <c r="N677" s="2">
        <v>45233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74</v>
      </c>
      <c r="U677">
        <v>63</v>
      </c>
      <c r="W677">
        <v>3</v>
      </c>
    </row>
    <row r="678" spans="1:25">
      <c r="A678" s="1" t="s">
        <v>747</v>
      </c>
      <c r="B678" t="s">
        <v>70</v>
      </c>
      <c r="C678" t="s">
        <v>47</v>
      </c>
      <c r="D678" t="s">
        <v>52</v>
      </c>
      <c r="E678" t="s">
        <v>54</v>
      </c>
      <c r="F678" t="s">
        <v>76</v>
      </c>
      <c r="G678" t="s">
        <v>55</v>
      </c>
      <c r="H678" t="s">
        <v>56</v>
      </c>
      <c r="I678" t="s">
        <v>41</v>
      </c>
      <c r="J678" s="2">
        <v>44933</v>
      </c>
      <c r="K678" s="2">
        <v>44935</v>
      </c>
      <c r="L678" s="2">
        <v>44943</v>
      </c>
      <c r="M678" s="2">
        <v>44945</v>
      </c>
      <c r="N678" s="2">
        <v>44969</v>
      </c>
      <c r="O678">
        <v>1</v>
      </c>
      <c r="P678">
        <v>0</v>
      </c>
      <c r="Q678">
        <v>0</v>
      </c>
      <c r="R678">
        <v>0</v>
      </c>
      <c r="S678">
        <v>0</v>
      </c>
      <c r="T678" t="s">
        <v>34</v>
      </c>
      <c r="U678">
        <v>69</v>
      </c>
      <c r="W678">
        <v>13</v>
      </c>
    </row>
    <row r="679" spans="1:25">
      <c r="A679" s="1" t="s">
        <v>748</v>
      </c>
      <c r="B679" t="s">
        <v>36</v>
      </c>
      <c r="C679" t="s">
        <v>71</v>
      </c>
      <c r="D679" t="s">
        <v>52</v>
      </c>
      <c r="E679" t="s">
        <v>66</v>
      </c>
      <c r="F679" t="s">
        <v>67</v>
      </c>
      <c r="G679" t="s">
        <v>39</v>
      </c>
      <c r="H679" t="s">
        <v>32</v>
      </c>
      <c r="I679" t="s">
        <v>33</v>
      </c>
      <c r="J679" s="2">
        <v>45002</v>
      </c>
      <c r="K679" s="2">
        <v>45003</v>
      </c>
      <c r="L679" s="2">
        <v>45010</v>
      </c>
      <c r="M679" s="2">
        <v>45016</v>
      </c>
      <c r="N679" s="2">
        <v>45018</v>
      </c>
      <c r="O679">
        <v>1</v>
      </c>
      <c r="P679">
        <v>1</v>
      </c>
      <c r="Q679">
        <v>1</v>
      </c>
      <c r="R679">
        <v>0</v>
      </c>
      <c r="S679">
        <v>0</v>
      </c>
      <c r="T679" t="s">
        <v>49</v>
      </c>
      <c r="U679">
        <v>66</v>
      </c>
      <c r="W679">
        <v>7</v>
      </c>
      <c r="X679">
        <v>1237061</v>
      </c>
      <c r="Y679" t="s">
        <v>50</v>
      </c>
    </row>
    <row r="680" spans="1:25">
      <c r="A680" s="1" t="s">
        <v>749</v>
      </c>
      <c r="B680" t="s">
        <v>26</v>
      </c>
      <c r="C680" t="s">
        <v>27</v>
      </c>
      <c r="D680" t="s">
        <v>59</v>
      </c>
      <c r="E680" t="s">
        <v>66</v>
      </c>
      <c r="F680" t="s">
        <v>30</v>
      </c>
      <c r="G680" t="s">
        <v>31</v>
      </c>
      <c r="H680" t="s">
        <v>40</v>
      </c>
      <c r="I680" t="s">
        <v>33</v>
      </c>
      <c r="J680" s="2">
        <v>45396</v>
      </c>
      <c r="K680" s="2">
        <v>45399</v>
      </c>
      <c r="L680" s="2">
        <v>45402</v>
      </c>
      <c r="M680" s="2">
        <v>45406</v>
      </c>
      <c r="N680" s="2">
        <v>45417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74</v>
      </c>
      <c r="U680">
        <v>90</v>
      </c>
      <c r="W680">
        <v>2</v>
      </c>
    </row>
    <row r="681" spans="1:25">
      <c r="A681" s="1" t="s">
        <v>750</v>
      </c>
      <c r="B681" t="s">
        <v>70</v>
      </c>
      <c r="C681" t="s">
        <v>78</v>
      </c>
      <c r="D681" t="s">
        <v>52</v>
      </c>
      <c r="E681" t="s">
        <v>63</v>
      </c>
      <c r="F681" t="s">
        <v>67</v>
      </c>
      <c r="G681" t="s">
        <v>60</v>
      </c>
      <c r="H681" t="s">
        <v>40</v>
      </c>
      <c r="I681" t="s">
        <v>41</v>
      </c>
      <c r="J681" s="2">
        <v>45437</v>
      </c>
      <c r="K681" s="2">
        <v>45440</v>
      </c>
      <c r="L681" s="2">
        <v>45449</v>
      </c>
      <c r="M681" s="2">
        <v>45451</v>
      </c>
      <c r="N681" s="2">
        <v>45468</v>
      </c>
      <c r="O681">
        <v>0</v>
      </c>
      <c r="P681">
        <v>0</v>
      </c>
      <c r="Q681">
        <v>0</v>
      </c>
      <c r="R681">
        <v>0</v>
      </c>
      <c r="S681">
        <v>1</v>
      </c>
      <c r="T681" t="s">
        <v>74</v>
      </c>
      <c r="U681">
        <v>59</v>
      </c>
      <c r="W681">
        <v>8</v>
      </c>
    </row>
    <row r="682" spans="1:25">
      <c r="A682" s="1" t="s">
        <v>751</v>
      </c>
      <c r="B682" t="s">
        <v>36</v>
      </c>
      <c r="C682" t="s">
        <v>27</v>
      </c>
      <c r="D682" t="s">
        <v>52</v>
      </c>
      <c r="E682" t="s">
        <v>66</v>
      </c>
      <c r="F682" t="s">
        <v>38</v>
      </c>
      <c r="G682" t="s">
        <v>55</v>
      </c>
      <c r="H682" t="s">
        <v>32</v>
      </c>
      <c r="I682" t="s">
        <v>41</v>
      </c>
      <c r="J682" s="2">
        <v>45264</v>
      </c>
      <c r="K682" s="2">
        <v>45268</v>
      </c>
      <c r="L682" s="2">
        <v>45277</v>
      </c>
      <c r="M682" s="2">
        <v>45279</v>
      </c>
      <c r="N682" s="2">
        <v>45287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74</v>
      </c>
      <c r="U682">
        <v>70</v>
      </c>
      <c r="W682">
        <v>1</v>
      </c>
    </row>
    <row r="683" spans="1:25">
      <c r="A683" s="1" t="s">
        <v>752</v>
      </c>
      <c r="B683" t="s">
        <v>36</v>
      </c>
      <c r="C683" t="s">
        <v>78</v>
      </c>
      <c r="D683" t="s">
        <v>44</v>
      </c>
      <c r="E683" t="s">
        <v>54</v>
      </c>
      <c r="F683" t="s">
        <v>30</v>
      </c>
      <c r="G683" t="s">
        <v>39</v>
      </c>
      <c r="H683" t="s">
        <v>32</v>
      </c>
      <c r="I683" t="s">
        <v>33</v>
      </c>
      <c r="J683" s="2">
        <v>45187</v>
      </c>
      <c r="K683" s="2">
        <v>45192</v>
      </c>
      <c r="L683" s="2">
        <v>45199</v>
      </c>
      <c r="M683" s="2">
        <v>45204</v>
      </c>
      <c r="N683" s="2">
        <v>45217</v>
      </c>
      <c r="O683">
        <v>1</v>
      </c>
      <c r="P683">
        <v>1</v>
      </c>
      <c r="Q683">
        <v>1</v>
      </c>
      <c r="R683">
        <v>1</v>
      </c>
      <c r="S683">
        <v>0</v>
      </c>
      <c r="T683" t="s">
        <v>61</v>
      </c>
      <c r="U683">
        <v>59</v>
      </c>
      <c r="V683">
        <v>30</v>
      </c>
      <c r="W683">
        <v>8</v>
      </c>
      <c r="X683">
        <v>1946837</v>
      </c>
    </row>
    <row r="684" spans="1:25">
      <c r="A684" s="1" t="s">
        <v>753</v>
      </c>
      <c r="B684" t="s">
        <v>70</v>
      </c>
      <c r="C684" t="s">
        <v>78</v>
      </c>
      <c r="D684" t="s">
        <v>52</v>
      </c>
      <c r="E684" t="s">
        <v>29</v>
      </c>
      <c r="F684" t="s">
        <v>48</v>
      </c>
      <c r="G684" t="s">
        <v>45</v>
      </c>
      <c r="H684" t="s">
        <v>32</v>
      </c>
      <c r="I684" t="s">
        <v>33</v>
      </c>
      <c r="J684" s="2">
        <v>45091</v>
      </c>
      <c r="K684" s="2">
        <v>45095</v>
      </c>
      <c r="L684" s="2">
        <v>45104</v>
      </c>
      <c r="M684" s="2">
        <v>45110</v>
      </c>
      <c r="N684" s="2">
        <v>45113</v>
      </c>
      <c r="O684">
        <v>1</v>
      </c>
      <c r="P684">
        <v>0</v>
      </c>
      <c r="Q684">
        <v>0</v>
      </c>
      <c r="R684">
        <v>0</v>
      </c>
      <c r="S684">
        <v>0</v>
      </c>
      <c r="T684" t="s">
        <v>34</v>
      </c>
      <c r="U684">
        <v>68</v>
      </c>
      <c r="W684">
        <v>9</v>
      </c>
    </row>
    <row r="685" spans="1:25">
      <c r="A685" s="1" t="s">
        <v>754</v>
      </c>
      <c r="B685" t="s">
        <v>26</v>
      </c>
      <c r="C685" t="s">
        <v>37</v>
      </c>
      <c r="D685" t="s">
        <v>73</v>
      </c>
      <c r="E685" t="s">
        <v>66</v>
      </c>
      <c r="F685" t="s">
        <v>38</v>
      </c>
      <c r="G685" t="s">
        <v>39</v>
      </c>
      <c r="H685" t="s">
        <v>56</v>
      </c>
      <c r="I685" t="s">
        <v>33</v>
      </c>
      <c r="J685" s="2">
        <v>45419</v>
      </c>
      <c r="K685" s="2">
        <v>45423</v>
      </c>
      <c r="L685" s="2">
        <v>45430</v>
      </c>
      <c r="M685" s="2">
        <v>45436</v>
      </c>
      <c r="N685" s="2">
        <v>45444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74</v>
      </c>
      <c r="U685">
        <v>73</v>
      </c>
      <c r="W685">
        <v>3</v>
      </c>
    </row>
    <row r="686" spans="1:25">
      <c r="A686" s="1" t="s">
        <v>755</v>
      </c>
      <c r="B686" t="s">
        <v>43</v>
      </c>
      <c r="C686" t="s">
        <v>71</v>
      </c>
      <c r="D686" t="s">
        <v>28</v>
      </c>
      <c r="E686" t="s">
        <v>54</v>
      </c>
      <c r="F686" t="s">
        <v>30</v>
      </c>
      <c r="G686" t="s">
        <v>31</v>
      </c>
      <c r="H686" t="s">
        <v>40</v>
      </c>
      <c r="I686" t="s">
        <v>41</v>
      </c>
      <c r="J686" s="2">
        <v>45392</v>
      </c>
      <c r="K686" s="2">
        <v>45394</v>
      </c>
      <c r="L686" s="2">
        <v>45399</v>
      </c>
      <c r="M686" s="2">
        <v>45401</v>
      </c>
      <c r="N686" s="2">
        <v>45420</v>
      </c>
      <c r="O686">
        <v>1</v>
      </c>
      <c r="P686">
        <v>0</v>
      </c>
      <c r="Q686">
        <v>0</v>
      </c>
      <c r="R686">
        <v>0</v>
      </c>
      <c r="S686">
        <v>0</v>
      </c>
      <c r="T686" t="s">
        <v>34</v>
      </c>
      <c r="U686">
        <v>49</v>
      </c>
      <c r="W686">
        <v>3</v>
      </c>
    </row>
    <row r="687" spans="1:25">
      <c r="A687" s="1" t="s">
        <v>756</v>
      </c>
      <c r="B687" t="s">
        <v>70</v>
      </c>
      <c r="C687" t="s">
        <v>27</v>
      </c>
      <c r="D687" t="s">
        <v>28</v>
      </c>
      <c r="E687" t="s">
        <v>66</v>
      </c>
      <c r="F687" t="s">
        <v>48</v>
      </c>
      <c r="G687" t="s">
        <v>60</v>
      </c>
      <c r="H687" t="s">
        <v>40</v>
      </c>
      <c r="I687" t="s">
        <v>33</v>
      </c>
      <c r="J687" s="2">
        <v>45263</v>
      </c>
      <c r="K687" s="2">
        <v>45268</v>
      </c>
      <c r="L687" s="2">
        <v>45275</v>
      </c>
      <c r="M687" s="2">
        <v>45279</v>
      </c>
      <c r="N687" s="2">
        <v>45285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74</v>
      </c>
      <c r="U687">
        <v>53</v>
      </c>
      <c r="W687">
        <v>1</v>
      </c>
    </row>
    <row r="688" spans="1:25">
      <c r="A688" s="1" t="s">
        <v>757</v>
      </c>
      <c r="B688" t="s">
        <v>26</v>
      </c>
      <c r="C688" t="s">
        <v>27</v>
      </c>
      <c r="D688" t="s">
        <v>44</v>
      </c>
      <c r="E688" t="s">
        <v>54</v>
      </c>
      <c r="F688" t="s">
        <v>30</v>
      </c>
      <c r="G688" t="s">
        <v>31</v>
      </c>
      <c r="H688" t="s">
        <v>40</v>
      </c>
      <c r="I688" t="s">
        <v>33</v>
      </c>
      <c r="J688" s="2">
        <v>45307</v>
      </c>
      <c r="K688" s="2">
        <v>45308</v>
      </c>
      <c r="L688" s="2">
        <v>45313</v>
      </c>
      <c r="M688" s="2">
        <v>45315</v>
      </c>
      <c r="N688" s="2">
        <v>45320</v>
      </c>
      <c r="O688">
        <v>1</v>
      </c>
      <c r="P688">
        <v>0</v>
      </c>
      <c r="Q688">
        <v>0</v>
      </c>
      <c r="R688">
        <v>0</v>
      </c>
      <c r="S688">
        <v>0</v>
      </c>
      <c r="T688" t="s">
        <v>34</v>
      </c>
      <c r="U688">
        <v>77</v>
      </c>
      <c r="W688">
        <v>1</v>
      </c>
    </row>
    <row r="689" spans="1:25">
      <c r="A689" s="1" t="s">
        <v>758</v>
      </c>
      <c r="B689" t="s">
        <v>70</v>
      </c>
      <c r="C689" t="s">
        <v>47</v>
      </c>
      <c r="D689" t="s">
        <v>28</v>
      </c>
      <c r="E689" t="s">
        <v>66</v>
      </c>
      <c r="F689" t="s">
        <v>64</v>
      </c>
      <c r="G689" t="s">
        <v>45</v>
      </c>
      <c r="H689" t="s">
        <v>40</v>
      </c>
      <c r="I689" t="s">
        <v>41</v>
      </c>
      <c r="J689" s="2">
        <v>45104</v>
      </c>
      <c r="K689" s="2">
        <v>45105</v>
      </c>
      <c r="L689" s="2">
        <v>45112</v>
      </c>
      <c r="M689" s="2">
        <v>45117</v>
      </c>
      <c r="N689" s="2">
        <v>45129</v>
      </c>
      <c r="O689">
        <v>1</v>
      </c>
      <c r="P689">
        <v>1</v>
      </c>
      <c r="Q689">
        <v>1</v>
      </c>
      <c r="R689">
        <v>0</v>
      </c>
      <c r="S689">
        <v>0</v>
      </c>
      <c r="T689" t="s">
        <v>49</v>
      </c>
      <c r="U689">
        <v>86</v>
      </c>
      <c r="W689">
        <v>14</v>
      </c>
      <c r="X689">
        <v>2642935</v>
      </c>
      <c r="Y689" t="s">
        <v>68</v>
      </c>
    </row>
    <row r="690" spans="1:25">
      <c r="A690" s="1" t="s">
        <v>759</v>
      </c>
      <c r="B690" t="s">
        <v>26</v>
      </c>
      <c r="C690" t="s">
        <v>37</v>
      </c>
      <c r="D690" t="s">
        <v>44</v>
      </c>
      <c r="E690" t="s">
        <v>54</v>
      </c>
      <c r="F690" t="s">
        <v>38</v>
      </c>
      <c r="G690" t="s">
        <v>45</v>
      </c>
      <c r="H690" t="s">
        <v>40</v>
      </c>
      <c r="I690" t="s">
        <v>41</v>
      </c>
      <c r="J690" s="2">
        <v>45361</v>
      </c>
      <c r="K690" s="2">
        <v>45365</v>
      </c>
      <c r="L690" s="2">
        <v>45369</v>
      </c>
      <c r="M690" s="2">
        <v>45371</v>
      </c>
      <c r="N690" s="2">
        <v>45374</v>
      </c>
      <c r="O690">
        <v>1</v>
      </c>
      <c r="P690">
        <v>1</v>
      </c>
      <c r="Q690">
        <v>1</v>
      </c>
      <c r="R690">
        <v>1</v>
      </c>
      <c r="S690">
        <v>0</v>
      </c>
      <c r="T690" t="s">
        <v>61</v>
      </c>
      <c r="U690">
        <v>45</v>
      </c>
      <c r="V690">
        <v>13</v>
      </c>
      <c r="W690">
        <v>2</v>
      </c>
      <c r="X690">
        <v>816048</v>
      </c>
    </row>
    <row r="691" spans="1:25">
      <c r="A691" s="1" t="s">
        <v>760</v>
      </c>
      <c r="B691" t="s">
        <v>70</v>
      </c>
      <c r="C691" t="s">
        <v>37</v>
      </c>
      <c r="D691" t="s">
        <v>73</v>
      </c>
      <c r="E691" t="s">
        <v>63</v>
      </c>
      <c r="F691" t="s">
        <v>76</v>
      </c>
      <c r="G691" t="s">
        <v>31</v>
      </c>
      <c r="H691" t="s">
        <v>56</v>
      </c>
      <c r="I691" t="s">
        <v>33</v>
      </c>
      <c r="J691" s="2">
        <v>45264</v>
      </c>
      <c r="K691" s="2">
        <v>45266</v>
      </c>
      <c r="L691" s="2">
        <v>45273</v>
      </c>
      <c r="M691" s="2">
        <v>45279</v>
      </c>
      <c r="N691" s="2">
        <v>45284</v>
      </c>
      <c r="O691">
        <v>1</v>
      </c>
      <c r="P691">
        <v>0</v>
      </c>
      <c r="Q691">
        <v>0</v>
      </c>
      <c r="R691">
        <v>0</v>
      </c>
      <c r="S691">
        <v>0</v>
      </c>
      <c r="T691" t="s">
        <v>34</v>
      </c>
      <c r="U691">
        <v>51</v>
      </c>
      <c r="W691">
        <v>3</v>
      </c>
    </row>
    <row r="692" spans="1:25">
      <c r="A692" s="1" t="s">
        <v>761</v>
      </c>
      <c r="B692" t="s">
        <v>70</v>
      </c>
      <c r="C692" t="s">
        <v>71</v>
      </c>
      <c r="D692" t="s">
        <v>52</v>
      </c>
      <c r="E692" t="s">
        <v>66</v>
      </c>
      <c r="F692" t="s">
        <v>30</v>
      </c>
      <c r="G692" t="s">
        <v>60</v>
      </c>
      <c r="H692" t="s">
        <v>56</v>
      </c>
      <c r="I692" t="s">
        <v>41</v>
      </c>
      <c r="J692" s="2">
        <v>44954</v>
      </c>
      <c r="K692" s="2">
        <v>44958</v>
      </c>
      <c r="L692" s="2">
        <v>44963</v>
      </c>
      <c r="M692" s="2">
        <v>44965</v>
      </c>
      <c r="N692" s="2">
        <v>44988</v>
      </c>
      <c r="O692">
        <v>1</v>
      </c>
      <c r="P692">
        <v>0</v>
      </c>
      <c r="Q692">
        <v>0</v>
      </c>
      <c r="R692">
        <v>0</v>
      </c>
      <c r="S692">
        <v>0</v>
      </c>
      <c r="T692" t="s">
        <v>34</v>
      </c>
      <c r="U692">
        <v>46</v>
      </c>
      <c r="W692">
        <v>5</v>
      </c>
    </row>
    <row r="693" spans="1:25">
      <c r="A693" s="1" t="s">
        <v>762</v>
      </c>
      <c r="B693" t="s">
        <v>36</v>
      </c>
      <c r="C693" t="s">
        <v>27</v>
      </c>
      <c r="D693" t="s">
        <v>73</v>
      </c>
      <c r="E693" t="s">
        <v>66</v>
      </c>
      <c r="F693" t="s">
        <v>30</v>
      </c>
      <c r="G693" t="s">
        <v>31</v>
      </c>
      <c r="H693" t="s">
        <v>56</v>
      </c>
      <c r="I693" t="s">
        <v>41</v>
      </c>
      <c r="J693" s="2">
        <v>45055</v>
      </c>
      <c r="K693" s="2">
        <v>45056</v>
      </c>
      <c r="L693" s="2">
        <v>45063</v>
      </c>
      <c r="M693" s="2">
        <v>45070</v>
      </c>
      <c r="N693" s="2">
        <v>45074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74</v>
      </c>
      <c r="U693">
        <v>53</v>
      </c>
      <c r="W693">
        <v>1</v>
      </c>
    </row>
    <row r="694" spans="1:25">
      <c r="A694" s="1" t="s">
        <v>763</v>
      </c>
      <c r="B694" t="s">
        <v>70</v>
      </c>
      <c r="C694" t="s">
        <v>71</v>
      </c>
      <c r="D694" t="s">
        <v>28</v>
      </c>
      <c r="E694" t="s">
        <v>54</v>
      </c>
      <c r="F694" t="s">
        <v>48</v>
      </c>
      <c r="G694" t="s">
        <v>45</v>
      </c>
      <c r="H694" t="s">
        <v>32</v>
      </c>
      <c r="I694" t="s">
        <v>33</v>
      </c>
      <c r="J694" s="2">
        <v>45189</v>
      </c>
      <c r="K694" s="2">
        <v>45193</v>
      </c>
      <c r="L694" s="2">
        <v>45196</v>
      </c>
      <c r="M694" s="2">
        <v>45203</v>
      </c>
      <c r="N694" s="2">
        <v>45220</v>
      </c>
      <c r="O694">
        <v>1</v>
      </c>
      <c r="P694">
        <v>1</v>
      </c>
      <c r="Q694">
        <v>1</v>
      </c>
      <c r="R694">
        <v>0</v>
      </c>
      <c r="S694">
        <v>0</v>
      </c>
      <c r="T694" t="s">
        <v>49</v>
      </c>
      <c r="U694">
        <v>81</v>
      </c>
      <c r="W694">
        <v>4</v>
      </c>
      <c r="X694">
        <v>1030376</v>
      </c>
      <c r="Y694" t="s">
        <v>50</v>
      </c>
    </row>
    <row r="695" spans="1:25">
      <c r="A695" s="1" t="s">
        <v>764</v>
      </c>
      <c r="B695" t="s">
        <v>70</v>
      </c>
      <c r="C695" t="s">
        <v>37</v>
      </c>
      <c r="D695" t="s">
        <v>52</v>
      </c>
      <c r="E695" t="s">
        <v>54</v>
      </c>
      <c r="F695" t="s">
        <v>64</v>
      </c>
      <c r="G695" t="s">
        <v>60</v>
      </c>
      <c r="H695" t="s">
        <v>32</v>
      </c>
      <c r="I695" t="s">
        <v>33</v>
      </c>
      <c r="J695" s="2">
        <v>45342</v>
      </c>
      <c r="K695" s="2">
        <v>45346</v>
      </c>
      <c r="L695" s="2">
        <v>45349</v>
      </c>
      <c r="M695" s="2">
        <v>45354</v>
      </c>
      <c r="N695" s="2">
        <v>45365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74</v>
      </c>
      <c r="U695">
        <v>99</v>
      </c>
      <c r="W695">
        <v>1</v>
      </c>
    </row>
    <row r="696" spans="1:25">
      <c r="A696" s="1" t="s">
        <v>765</v>
      </c>
      <c r="B696" t="s">
        <v>43</v>
      </c>
      <c r="C696" t="s">
        <v>78</v>
      </c>
      <c r="D696" t="s">
        <v>44</v>
      </c>
      <c r="E696" t="s">
        <v>102</v>
      </c>
      <c r="F696" t="s">
        <v>48</v>
      </c>
      <c r="G696" t="s">
        <v>55</v>
      </c>
      <c r="H696" t="s">
        <v>56</v>
      </c>
      <c r="I696" t="s">
        <v>33</v>
      </c>
      <c r="J696" s="2">
        <v>45046</v>
      </c>
      <c r="K696" s="2">
        <v>45051</v>
      </c>
      <c r="L696" s="2">
        <v>45055</v>
      </c>
      <c r="M696" s="2">
        <v>45059</v>
      </c>
      <c r="N696" s="2">
        <v>45067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74</v>
      </c>
      <c r="U696">
        <v>54</v>
      </c>
      <c r="W696">
        <v>7</v>
      </c>
    </row>
    <row r="697" spans="1:25">
      <c r="A697" s="1" t="s">
        <v>766</v>
      </c>
      <c r="B697" t="s">
        <v>26</v>
      </c>
      <c r="C697" t="s">
        <v>78</v>
      </c>
      <c r="D697" t="s">
        <v>44</v>
      </c>
      <c r="E697" t="s">
        <v>102</v>
      </c>
      <c r="F697" t="s">
        <v>30</v>
      </c>
      <c r="G697" t="s">
        <v>39</v>
      </c>
      <c r="H697" t="s">
        <v>40</v>
      </c>
      <c r="I697" t="s">
        <v>41</v>
      </c>
      <c r="J697" s="2">
        <v>45014</v>
      </c>
      <c r="K697" s="2">
        <v>45015</v>
      </c>
      <c r="L697" s="2">
        <v>45023</v>
      </c>
      <c r="M697" s="2">
        <v>45030</v>
      </c>
      <c r="N697" s="2">
        <v>45029</v>
      </c>
      <c r="O697">
        <v>1</v>
      </c>
      <c r="P697">
        <v>0</v>
      </c>
      <c r="Q697">
        <v>0</v>
      </c>
      <c r="R697">
        <v>0</v>
      </c>
      <c r="S697">
        <v>0</v>
      </c>
      <c r="T697" t="s">
        <v>34</v>
      </c>
      <c r="U697">
        <v>64</v>
      </c>
      <c r="W697">
        <v>6</v>
      </c>
    </row>
    <row r="698" spans="1:25">
      <c r="A698" s="1" t="s">
        <v>767</v>
      </c>
      <c r="B698" t="s">
        <v>43</v>
      </c>
      <c r="C698" t="s">
        <v>71</v>
      </c>
      <c r="D698" t="s">
        <v>73</v>
      </c>
      <c r="E698" t="s">
        <v>29</v>
      </c>
      <c r="F698" t="s">
        <v>38</v>
      </c>
      <c r="G698" t="s">
        <v>45</v>
      </c>
      <c r="H698" t="s">
        <v>40</v>
      </c>
      <c r="I698" t="s">
        <v>41</v>
      </c>
      <c r="J698" s="2">
        <v>44930</v>
      </c>
      <c r="K698" s="2">
        <v>44932</v>
      </c>
      <c r="L698" s="2">
        <v>44939</v>
      </c>
      <c r="M698" s="2">
        <v>44944</v>
      </c>
      <c r="N698" s="2">
        <v>44949</v>
      </c>
      <c r="O698">
        <v>1</v>
      </c>
      <c r="P698">
        <v>1</v>
      </c>
      <c r="Q698">
        <v>1</v>
      </c>
      <c r="R698">
        <v>1</v>
      </c>
      <c r="S698">
        <v>0</v>
      </c>
      <c r="T698" t="s">
        <v>61</v>
      </c>
      <c r="U698">
        <v>99</v>
      </c>
      <c r="V698">
        <v>19</v>
      </c>
      <c r="W698">
        <v>4</v>
      </c>
      <c r="X698">
        <v>905180</v>
      </c>
    </row>
    <row r="699" spans="1:25">
      <c r="A699" s="1" t="s">
        <v>768</v>
      </c>
      <c r="B699" t="s">
        <v>90</v>
      </c>
      <c r="C699" t="s">
        <v>37</v>
      </c>
      <c r="D699" t="s">
        <v>59</v>
      </c>
      <c r="E699" t="s">
        <v>63</v>
      </c>
      <c r="F699" t="s">
        <v>76</v>
      </c>
      <c r="G699" t="s">
        <v>39</v>
      </c>
      <c r="H699" t="s">
        <v>40</v>
      </c>
      <c r="I699" t="s">
        <v>33</v>
      </c>
      <c r="J699" s="2">
        <v>45393</v>
      </c>
      <c r="K699" s="2">
        <v>45396</v>
      </c>
      <c r="L699" s="2">
        <v>45405</v>
      </c>
      <c r="M699" s="2">
        <v>45411</v>
      </c>
      <c r="N699" s="2">
        <v>45417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74</v>
      </c>
      <c r="U699">
        <v>46</v>
      </c>
      <c r="W699">
        <v>2</v>
      </c>
    </row>
    <row r="700" spans="1:25">
      <c r="A700" s="1" t="s">
        <v>769</v>
      </c>
      <c r="B700" t="s">
        <v>26</v>
      </c>
      <c r="C700" t="s">
        <v>71</v>
      </c>
      <c r="D700" t="s">
        <v>59</v>
      </c>
      <c r="E700" t="s">
        <v>63</v>
      </c>
      <c r="F700" t="s">
        <v>38</v>
      </c>
      <c r="G700" t="s">
        <v>45</v>
      </c>
      <c r="H700" t="s">
        <v>40</v>
      </c>
      <c r="I700" t="s">
        <v>33</v>
      </c>
      <c r="J700" s="2">
        <v>44958</v>
      </c>
      <c r="K700" s="2">
        <v>44961</v>
      </c>
      <c r="L700" s="2">
        <v>44967</v>
      </c>
      <c r="M700" s="2">
        <v>44970</v>
      </c>
      <c r="N700" s="2">
        <v>44982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74</v>
      </c>
      <c r="U700">
        <v>63</v>
      </c>
      <c r="W700">
        <v>6</v>
      </c>
    </row>
    <row r="701" spans="1:25">
      <c r="A701" s="1" t="s">
        <v>770</v>
      </c>
      <c r="B701" t="s">
        <v>58</v>
      </c>
      <c r="C701" t="s">
        <v>27</v>
      </c>
      <c r="D701" t="s">
        <v>44</v>
      </c>
      <c r="E701" t="s">
        <v>29</v>
      </c>
      <c r="F701" t="s">
        <v>38</v>
      </c>
      <c r="G701" t="s">
        <v>31</v>
      </c>
      <c r="H701" t="s">
        <v>56</v>
      </c>
      <c r="I701" t="s">
        <v>41</v>
      </c>
      <c r="J701" s="2">
        <v>45226</v>
      </c>
      <c r="K701" s="2">
        <v>45227</v>
      </c>
      <c r="L701" s="2">
        <v>45231</v>
      </c>
      <c r="M701" s="2">
        <v>45237</v>
      </c>
      <c r="N701" s="2">
        <v>45245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74</v>
      </c>
      <c r="U701">
        <v>48</v>
      </c>
      <c r="W701">
        <v>1</v>
      </c>
    </row>
    <row r="702" spans="1:25">
      <c r="A702" s="1" t="s">
        <v>771</v>
      </c>
      <c r="B702" t="s">
        <v>36</v>
      </c>
      <c r="C702" t="s">
        <v>27</v>
      </c>
      <c r="D702" t="s">
        <v>52</v>
      </c>
      <c r="E702" t="s">
        <v>66</v>
      </c>
      <c r="F702" t="s">
        <v>67</v>
      </c>
      <c r="G702" t="s">
        <v>60</v>
      </c>
      <c r="H702" t="s">
        <v>56</v>
      </c>
      <c r="I702" t="s">
        <v>33</v>
      </c>
      <c r="J702" s="2">
        <v>44936</v>
      </c>
      <c r="K702" s="2">
        <v>44941</v>
      </c>
      <c r="L702" s="2">
        <v>44944</v>
      </c>
      <c r="M702" s="2">
        <v>44947</v>
      </c>
      <c r="N702" s="2">
        <v>44957</v>
      </c>
      <c r="O702">
        <v>1</v>
      </c>
      <c r="P702">
        <v>1</v>
      </c>
      <c r="Q702">
        <v>1</v>
      </c>
      <c r="R702">
        <v>0</v>
      </c>
      <c r="S702">
        <v>0</v>
      </c>
      <c r="T702" t="s">
        <v>49</v>
      </c>
      <c r="U702">
        <v>67</v>
      </c>
      <c r="W702">
        <v>0</v>
      </c>
      <c r="X702">
        <v>497076</v>
      </c>
      <c r="Y702" t="s">
        <v>80</v>
      </c>
    </row>
    <row r="703" spans="1:25">
      <c r="A703" s="1" t="s">
        <v>772</v>
      </c>
      <c r="B703" t="s">
        <v>43</v>
      </c>
      <c r="C703" t="s">
        <v>47</v>
      </c>
      <c r="D703" t="s">
        <v>59</v>
      </c>
      <c r="E703" t="s">
        <v>54</v>
      </c>
      <c r="F703" t="s">
        <v>48</v>
      </c>
      <c r="G703" t="s">
        <v>45</v>
      </c>
      <c r="H703" t="s">
        <v>56</v>
      </c>
      <c r="I703" t="s">
        <v>33</v>
      </c>
      <c r="J703" s="2">
        <v>45034</v>
      </c>
      <c r="K703" s="2">
        <v>45037</v>
      </c>
      <c r="L703" s="2">
        <v>45043</v>
      </c>
      <c r="M703" s="2">
        <v>45047</v>
      </c>
      <c r="N703" s="2">
        <v>45058</v>
      </c>
      <c r="O703">
        <v>1</v>
      </c>
      <c r="P703">
        <v>1</v>
      </c>
      <c r="Q703">
        <v>1</v>
      </c>
      <c r="R703">
        <v>0</v>
      </c>
      <c r="S703">
        <v>0</v>
      </c>
      <c r="T703" t="s">
        <v>49</v>
      </c>
      <c r="U703">
        <v>70</v>
      </c>
      <c r="W703">
        <v>9</v>
      </c>
      <c r="X703">
        <v>2793554</v>
      </c>
      <c r="Y703" t="s">
        <v>50</v>
      </c>
    </row>
    <row r="704" spans="1:25">
      <c r="A704" s="1" t="s">
        <v>773</v>
      </c>
      <c r="B704" t="s">
        <v>70</v>
      </c>
      <c r="C704" t="s">
        <v>71</v>
      </c>
      <c r="D704" t="s">
        <v>59</v>
      </c>
      <c r="E704" t="s">
        <v>29</v>
      </c>
      <c r="F704" t="s">
        <v>64</v>
      </c>
      <c r="G704" t="s">
        <v>31</v>
      </c>
      <c r="H704" t="s">
        <v>56</v>
      </c>
      <c r="I704" t="s">
        <v>41</v>
      </c>
      <c r="J704" s="2">
        <v>45407</v>
      </c>
      <c r="K704" s="2">
        <v>45410</v>
      </c>
      <c r="L704" s="2">
        <v>45417</v>
      </c>
      <c r="M704" s="2">
        <v>45422</v>
      </c>
      <c r="N704" s="2">
        <v>45434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74</v>
      </c>
      <c r="U704">
        <v>78</v>
      </c>
      <c r="W704">
        <v>3</v>
      </c>
    </row>
    <row r="705" spans="1:25">
      <c r="A705" s="1" t="s">
        <v>774</v>
      </c>
      <c r="B705" t="s">
        <v>70</v>
      </c>
      <c r="C705" t="s">
        <v>71</v>
      </c>
      <c r="D705" t="s">
        <v>52</v>
      </c>
      <c r="E705" t="s">
        <v>66</v>
      </c>
      <c r="F705" t="s">
        <v>38</v>
      </c>
      <c r="G705" t="s">
        <v>39</v>
      </c>
      <c r="H705" t="s">
        <v>56</v>
      </c>
      <c r="I705" t="s">
        <v>33</v>
      </c>
      <c r="J705" s="2">
        <v>45148</v>
      </c>
      <c r="K705" s="2">
        <v>45151</v>
      </c>
      <c r="L705" s="2">
        <v>45155</v>
      </c>
      <c r="M705" s="2">
        <v>45158</v>
      </c>
      <c r="N705" s="2">
        <v>45186</v>
      </c>
      <c r="O705">
        <v>0</v>
      </c>
      <c r="P705">
        <v>0</v>
      </c>
      <c r="Q705">
        <v>0</v>
      </c>
      <c r="R705">
        <v>0</v>
      </c>
      <c r="S705">
        <v>1</v>
      </c>
      <c r="T705" t="s">
        <v>74</v>
      </c>
      <c r="U705">
        <v>82</v>
      </c>
      <c r="W705">
        <v>5</v>
      </c>
    </row>
    <row r="706" spans="1:25">
      <c r="A706" s="1" t="s">
        <v>775</v>
      </c>
      <c r="B706" t="s">
        <v>36</v>
      </c>
      <c r="C706" t="s">
        <v>27</v>
      </c>
      <c r="D706" t="s">
        <v>44</v>
      </c>
      <c r="E706" t="s">
        <v>102</v>
      </c>
      <c r="F706" t="s">
        <v>67</v>
      </c>
      <c r="G706" t="s">
        <v>31</v>
      </c>
      <c r="H706" t="s">
        <v>56</v>
      </c>
      <c r="I706" t="s">
        <v>33</v>
      </c>
      <c r="J706" s="2">
        <v>45037</v>
      </c>
      <c r="K706" s="2">
        <v>45040</v>
      </c>
      <c r="L706" s="2">
        <v>45049</v>
      </c>
      <c r="M706" s="2">
        <v>45053</v>
      </c>
      <c r="N706" s="2">
        <v>45057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74</v>
      </c>
      <c r="U706">
        <v>50</v>
      </c>
      <c r="W706">
        <v>1</v>
      </c>
    </row>
    <row r="707" spans="1:25">
      <c r="A707" s="1" t="s">
        <v>776</v>
      </c>
      <c r="B707" t="s">
        <v>70</v>
      </c>
      <c r="C707" t="s">
        <v>37</v>
      </c>
      <c r="D707" t="s">
        <v>73</v>
      </c>
      <c r="E707" t="s">
        <v>29</v>
      </c>
      <c r="F707" t="s">
        <v>76</v>
      </c>
      <c r="G707" t="s">
        <v>31</v>
      </c>
      <c r="H707" t="s">
        <v>56</v>
      </c>
      <c r="I707" t="s">
        <v>33</v>
      </c>
      <c r="J707" s="2">
        <v>45171</v>
      </c>
      <c r="K707" s="2">
        <v>45173</v>
      </c>
      <c r="L707" s="2">
        <v>45177</v>
      </c>
      <c r="M707" s="2">
        <v>45183</v>
      </c>
      <c r="N707" s="2">
        <v>45193</v>
      </c>
      <c r="O707">
        <v>1</v>
      </c>
      <c r="P707">
        <v>1</v>
      </c>
      <c r="Q707">
        <v>1</v>
      </c>
      <c r="R707">
        <v>0</v>
      </c>
      <c r="S707">
        <v>0</v>
      </c>
      <c r="T707" t="s">
        <v>49</v>
      </c>
      <c r="U707">
        <v>91</v>
      </c>
      <c r="W707">
        <v>2</v>
      </c>
      <c r="X707">
        <v>509005</v>
      </c>
      <c r="Y707" t="s">
        <v>87</v>
      </c>
    </row>
    <row r="708" spans="1:25">
      <c r="A708" s="1" t="s">
        <v>777</v>
      </c>
      <c r="B708" t="s">
        <v>26</v>
      </c>
      <c r="C708" t="s">
        <v>78</v>
      </c>
      <c r="D708" t="s">
        <v>73</v>
      </c>
      <c r="E708" t="s">
        <v>102</v>
      </c>
      <c r="F708" t="s">
        <v>67</v>
      </c>
      <c r="G708" t="s">
        <v>60</v>
      </c>
      <c r="H708" t="s">
        <v>56</v>
      </c>
      <c r="I708" t="s">
        <v>33</v>
      </c>
      <c r="J708" s="2">
        <v>45008</v>
      </c>
      <c r="K708" s="2">
        <v>45010</v>
      </c>
      <c r="L708" s="2">
        <v>45015</v>
      </c>
      <c r="M708" s="2">
        <v>45019</v>
      </c>
      <c r="N708" s="2">
        <v>45026</v>
      </c>
      <c r="O708">
        <v>1</v>
      </c>
      <c r="P708">
        <v>1</v>
      </c>
      <c r="Q708">
        <v>1</v>
      </c>
      <c r="R708">
        <v>0</v>
      </c>
      <c r="S708">
        <v>0</v>
      </c>
      <c r="T708" t="s">
        <v>49</v>
      </c>
      <c r="U708">
        <v>77</v>
      </c>
      <c r="W708">
        <v>8</v>
      </c>
      <c r="X708">
        <v>2103944</v>
      </c>
      <c r="Y708" t="s">
        <v>68</v>
      </c>
    </row>
    <row r="709" spans="1:25">
      <c r="A709" s="1" t="s">
        <v>778</v>
      </c>
      <c r="B709" t="s">
        <v>26</v>
      </c>
      <c r="C709" t="s">
        <v>78</v>
      </c>
      <c r="D709" t="s">
        <v>28</v>
      </c>
      <c r="E709" t="s">
        <v>102</v>
      </c>
      <c r="F709" t="s">
        <v>48</v>
      </c>
      <c r="G709" t="s">
        <v>55</v>
      </c>
      <c r="H709" t="s">
        <v>32</v>
      </c>
      <c r="I709" t="s">
        <v>33</v>
      </c>
      <c r="J709" s="2">
        <v>45142</v>
      </c>
      <c r="K709" s="2">
        <v>45144</v>
      </c>
      <c r="L709" s="2">
        <v>45154</v>
      </c>
      <c r="M709" s="2">
        <v>45159</v>
      </c>
      <c r="N709" s="2">
        <v>45160</v>
      </c>
      <c r="O709">
        <v>1</v>
      </c>
      <c r="P709">
        <v>1</v>
      </c>
      <c r="Q709">
        <v>1</v>
      </c>
      <c r="R709">
        <v>0</v>
      </c>
      <c r="S709">
        <v>0</v>
      </c>
      <c r="T709" t="s">
        <v>49</v>
      </c>
      <c r="U709">
        <v>86</v>
      </c>
      <c r="W709">
        <v>6</v>
      </c>
      <c r="X709">
        <v>1500976</v>
      </c>
      <c r="Y709" t="s">
        <v>87</v>
      </c>
    </row>
    <row r="710" spans="1:25">
      <c r="A710" s="1" t="s">
        <v>779</v>
      </c>
      <c r="B710" t="s">
        <v>70</v>
      </c>
      <c r="C710" t="s">
        <v>78</v>
      </c>
      <c r="D710" t="s">
        <v>59</v>
      </c>
      <c r="E710" t="s">
        <v>63</v>
      </c>
      <c r="F710" t="s">
        <v>48</v>
      </c>
      <c r="G710" t="s">
        <v>55</v>
      </c>
      <c r="H710" t="s">
        <v>56</v>
      </c>
      <c r="I710" t="s">
        <v>41</v>
      </c>
      <c r="J710" s="2">
        <v>45131</v>
      </c>
      <c r="K710" s="2">
        <v>45136</v>
      </c>
      <c r="L710" s="2">
        <v>45143</v>
      </c>
      <c r="M710" s="2">
        <v>45145</v>
      </c>
      <c r="N710" s="2">
        <v>45171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74</v>
      </c>
      <c r="U710">
        <v>88</v>
      </c>
      <c r="W710">
        <v>8</v>
      </c>
    </row>
    <row r="711" spans="1:25">
      <c r="A711" s="1" t="s">
        <v>780</v>
      </c>
      <c r="B711" t="s">
        <v>70</v>
      </c>
      <c r="C711" t="s">
        <v>47</v>
      </c>
      <c r="D711" t="s">
        <v>44</v>
      </c>
      <c r="E711" t="s">
        <v>102</v>
      </c>
      <c r="F711" t="s">
        <v>30</v>
      </c>
      <c r="G711" t="s">
        <v>31</v>
      </c>
      <c r="H711" t="s">
        <v>32</v>
      </c>
      <c r="I711" t="s">
        <v>33</v>
      </c>
      <c r="J711" s="2">
        <v>45141</v>
      </c>
      <c r="K711" s="2">
        <v>45143</v>
      </c>
      <c r="L711" s="2">
        <v>45148</v>
      </c>
      <c r="M711" s="2">
        <v>45153</v>
      </c>
      <c r="N711" s="2">
        <v>45163</v>
      </c>
      <c r="O711">
        <v>1</v>
      </c>
      <c r="P711">
        <v>0</v>
      </c>
      <c r="Q711">
        <v>0</v>
      </c>
      <c r="R711">
        <v>0</v>
      </c>
      <c r="S711">
        <v>1</v>
      </c>
      <c r="T711" t="s">
        <v>34</v>
      </c>
      <c r="U711">
        <v>60</v>
      </c>
      <c r="W711">
        <v>9</v>
      </c>
    </row>
    <row r="712" spans="1:25">
      <c r="A712" s="1" t="s">
        <v>781</v>
      </c>
      <c r="B712" t="s">
        <v>26</v>
      </c>
      <c r="C712" t="s">
        <v>37</v>
      </c>
      <c r="D712" t="s">
        <v>73</v>
      </c>
      <c r="E712" t="s">
        <v>54</v>
      </c>
      <c r="F712" t="s">
        <v>30</v>
      </c>
      <c r="G712" t="s">
        <v>31</v>
      </c>
      <c r="H712" t="s">
        <v>56</v>
      </c>
      <c r="I712" t="s">
        <v>33</v>
      </c>
      <c r="J712" s="2">
        <v>45208</v>
      </c>
      <c r="K712" s="2">
        <v>45209</v>
      </c>
      <c r="L712" s="2">
        <v>45214</v>
      </c>
      <c r="M712" s="2">
        <v>45220</v>
      </c>
      <c r="N712" s="2">
        <v>45221</v>
      </c>
      <c r="O712">
        <v>1</v>
      </c>
      <c r="P712">
        <v>0</v>
      </c>
      <c r="Q712">
        <v>0</v>
      </c>
      <c r="R712">
        <v>0</v>
      </c>
      <c r="S712">
        <v>0</v>
      </c>
      <c r="T712" t="s">
        <v>34</v>
      </c>
      <c r="U712">
        <v>51</v>
      </c>
      <c r="W712">
        <v>3</v>
      </c>
    </row>
    <row r="713" spans="1:25">
      <c r="A713" s="1" t="s">
        <v>782</v>
      </c>
      <c r="B713" t="s">
        <v>36</v>
      </c>
      <c r="C713" t="s">
        <v>47</v>
      </c>
      <c r="D713" t="s">
        <v>59</v>
      </c>
      <c r="E713" t="s">
        <v>29</v>
      </c>
      <c r="F713" t="s">
        <v>48</v>
      </c>
      <c r="G713" t="s">
        <v>55</v>
      </c>
      <c r="H713" t="s">
        <v>32</v>
      </c>
      <c r="I713" t="s">
        <v>41</v>
      </c>
      <c r="J713" s="2">
        <v>45054</v>
      </c>
      <c r="K713" s="2">
        <v>45055</v>
      </c>
      <c r="L713" s="2">
        <v>45061</v>
      </c>
      <c r="M713" s="2">
        <v>45066</v>
      </c>
      <c r="N713" s="2">
        <v>45072</v>
      </c>
      <c r="O713">
        <v>1</v>
      </c>
      <c r="P713">
        <v>1</v>
      </c>
      <c r="Q713">
        <v>1</v>
      </c>
      <c r="R713">
        <v>0</v>
      </c>
      <c r="S713">
        <v>0</v>
      </c>
      <c r="T713" t="s">
        <v>49</v>
      </c>
      <c r="U713">
        <v>93</v>
      </c>
      <c r="W713">
        <v>8</v>
      </c>
      <c r="X713">
        <v>2452079</v>
      </c>
      <c r="Y713" t="s">
        <v>68</v>
      </c>
    </row>
    <row r="714" spans="1:25">
      <c r="A714" s="1" t="s">
        <v>783</v>
      </c>
      <c r="B714" t="s">
        <v>26</v>
      </c>
      <c r="C714" t="s">
        <v>27</v>
      </c>
      <c r="D714" t="s">
        <v>73</v>
      </c>
      <c r="E714" t="s">
        <v>102</v>
      </c>
      <c r="F714" t="s">
        <v>76</v>
      </c>
      <c r="G714" t="s">
        <v>55</v>
      </c>
      <c r="H714" t="s">
        <v>32</v>
      </c>
      <c r="I714" t="s">
        <v>41</v>
      </c>
      <c r="J714" s="2">
        <v>45218</v>
      </c>
      <c r="K714" s="2">
        <v>45221</v>
      </c>
      <c r="L714" s="2">
        <v>45228</v>
      </c>
      <c r="M714" s="2">
        <v>45235</v>
      </c>
      <c r="N714" s="2">
        <v>45240</v>
      </c>
      <c r="O714">
        <v>1</v>
      </c>
      <c r="P714">
        <v>1</v>
      </c>
      <c r="Q714">
        <v>1</v>
      </c>
      <c r="R714">
        <v>0</v>
      </c>
      <c r="S714">
        <v>1</v>
      </c>
      <c r="T714" t="s">
        <v>49</v>
      </c>
      <c r="U714">
        <v>80</v>
      </c>
      <c r="W714">
        <v>2</v>
      </c>
      <c r="X714">
        <v>515767</v>
      </c>
      <c r="Y714" t="s">
        <v>87</v>
      </c>
    </row>
    <row r="715" spans="1:25">
      <c r="A715" s="1" t="s">
        <v>784</v>
      </c>
      <c r="B715" t="s">
        <v>26</v>
      </c>
      <c r="C715" t="s">
        <v>27</v>
      </c>
      <c r="D715" t="s">
        <v>73</v>
      </c>
      <c r="E715" t="s">
        <v>102</v>
      </c>
      <c r="F715" t="s">
        <v>76</v>
      </c>
      <c r="G715" t="s">
        <v>39</v>
      </c>
      <c r="H715" t="s">
        <v>56</v>
      </c>
      <c r="I715" t="s">
        <v>41</v>
      </c>
      <c r="J715" s="2">
        <v>45436</v>
      </c>
      <c r="K715" s="2">
        <v>45439</v>
      </c>
      <c r="L715" s="2">
        <v>45449</v>
      </c>
      <c r="M715" s="2">
        <v>45454</v>
      </c>
      <c r="N715" s="2">
        <v>45449</v>
      </c>
      <c r="O715">
        <v>1</v>
      </c>
      <c r="P715">
        <v>1</v>
      </c>
      <c r="Q715">
        <v>1</v>
      </c>
      <c r="R715">
        <v>0</v>
      </c>
      <c r="S715">
        <v>0</v>
      </c>
      <c r="T715" t="s">
        <v>49</v>
      </c>
      <c r="U715">
        <v>72</v>
      </c>
      <c r="W715">
        <v>2</v>
      </c>
      <c r="X715">
        <v>586581</v>
      </c>
      <c r="Y715" t="s">
        <v>68</v>
      </c>
    </row>
    <row r="716" spans="1:25">
      <c r="A716" s="1" t="s">
        <v>785</v>
      </c>
      <c r="B716" t="s">
        <v>70</v>
      </c>
      <c r="C716" t="s">
        <v>47</v>
      </c>
      <c r="D716" t="s">
        <v>44</v>
      </c>
      <c r="E716" t="s">
        <v>66</v>
      </c>
      <c r="F716" t="s">
        <v>76</v>
      </c>
      <c r="G716" t="s">
        <v>31</v>
      </c>
      <c r="H716" t="s">
        <v>56</v>
      </c>
      <c r="I716" t="s">
        <v>41</v>
      </c>
      <c r="J716" s="2">
        <v>45388</v>
      </c>
      <c r="K716" s="2">
        <v>45393</v>
      </c>
      <c r="L716" s="2">
        <v>45396</v>
      </c>
      <c r="M716" s="2">
        <v>45400</v>
      </c>
      <c r="N716" s="2">
        <v>45428</v>
      </c>
      <c r="O716">
        <v>1</v>
      </c>
      <c r="P716">
        <v>0</v>
      </c>
      <c r="Q716">
        <v>0</v>
      </c>
      <c r="R716">
        <v>0</v>
      </c>
      <c r="S716">
        <v>1</v>
      </c>
      <c r="T716" t="s">
        <v>34</v>
      </c>
      <c r="U716">
        <v>51</v>
      </c>
      <c r="W716">
        <v>9</v>
      </c>
    </row>
    <row r="717" spans="1:25">
      <c r="A717" s="1" t="s">
        <v>786</v>
      </c>
      <c r="B717" t="s">
        <v>58</v>
      </c>
      <c r="C717" t="s">
        <v>47</v>
      </c>
      <c r="D717" t="s">
        <v>59</v>
      </c>
      <c r="E717" t="s">
        <v>102</v>
      </c>
      <c r="F717" t="s">
        <v>48</v>
      </c>
      <c r="G717" t="s">
        <v>55</v>
      </c>
      <c r="H717" t="s">
        <v>40</v>
      </c>
      <c r="I717" t="s">
        <v>41</v>
      </c>
      <c r="J717" s="2">
        <v>45312</v>
      </c>
      <c r="K717" s="2">
        <v>45315</v>
      </c>
      <c r="L717" s="2">
        <v>45323</v>
      </c>
      <c r="M717" s="2">
        <v>45325</v>
      </c>
      <c r="N717" s="2">
        <v>45322</v>
      </c>
      <c r="O717">
        <v>1</v>
      </c>
      <c r="P717">
        <v>1</v>
      </c>
      <c r="Q717">
        <v>0</v>
      </c>
      <c r="R717">
        <v>0</v>
      </c>
      <c r="S717">
        <v>0</v>
      </c>
      <c r="T717" t="s">
        <v>34</v>
      </c>
      <c r="U717">
        <v>55</v>
      </c>
      <c r="W717">
        <v>9</v>
      </c>
    </row>
    <row r="718" spans="1:25">
      <c r="A718" s="1" t="s">
        <v>787</v>
      </c>
      <c r="B718" t="s">
        <v>70</v>
      </c>
      <c r="C718" t="s">
        <v>37</v>
      </c>
      <c r="D718" t="s">
        <v>44</v>
      </c>
      <c r="E718" t="s">
        <v>66</v>
      </c>
      <c r="F718" t="s">
        <v>64</v>
      </c>
      <c r="G718" t="s">
        <v>31</v>
      </c>
      <c r="H718" t="s">
        <v>56</v>
      </c>
      <c r="I718" t="s">
        <v>41</v>
      </c>
      <c r="J718" s="2">
        <v>45416</v>
      </c>
      <c r="K718" s="2">
        <v>45421</v>
      </c>
      <c r="L718" s="2">
        <v>45431</v>
      </c>
      <c r="M718" s="2">
        <v>45434</v>
      </c>
      <c r="N718" s="2">
        <v>45436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74</v>
      </c>
      <c r="U718">
        <v>65</v>
      </c>
      <c r="W718">
        <v>1</v>
      </c>
    </row>
    <row r="719" spans="1:25">
      <c r="A719" s="1" t="s">
        <v>788</v>
      </c>
      <c r="B719" t="s">
        <v>36</v>
      </c>
      <c r="C719" t="s">
        <v>37</v>
      </c>
      <c r="D719" t="s">
        <v>44</v>
      </c>
      <c r="E719" t="s">
        <v>102</v>
      </c>
      <c r="F719" t="s">
        <v>76</v>
      </c>
      <c r="G719" t="s">
        <v>45</v>
      </c>
      <c r="H719" t="s">
        <v>56</v>
      </c>
      <c r="I719" t="s">
        <v>41</v>
      </c>
      <c r="J719" s="2">
        <v>45467</v>
      </c>
      <c r="K719" s="2">
        <v>45471</v>
      </c>
      <c r="L719" s="2">
        <v>45478</v>
      </c>
      <c r="M719" s="2">
        <v>45484</v>
      </c>
      <c r="N719" s="2">
        <v>45491</v>
      </c>
      <c r="O719">
        <v>1</v>
      </c>
      <c r="P719">
        <v>1</v>
      </c>
      <c r="Q719">
        <v>1</v>
      </c>
      <c r="R719">
        <v>1</v>
      </c>
      <c r="S719">
        <v>0</v>
      </c>
      <c r="T719" t="s">
        <v>61</v>
      </c>
      <c r="U719">
        <v>69</v>
      </c>
      <c r="V719">
        <v>24</v>
      </c>
      <c r="W719">
        <v>4</v>
      </c>
      <c r="X719">
        <v>759904</v>
      </c>
    </row>
    <row r="720" spans="1:25">
      <c r="A720" s="1" t="s">
        <v>789</v>
      </c>
      <c r="B720" t="s">
        <v>26</v>
      </c>
      <c r="C720" t="s">
        <v>47</v>
      </c>
      <c r="D720" t="s">
        <v>73</v>
      </c>
      <c r="E720" t="s">
        <v>54</v>
      </c>
      <c r="F720" t="s">
        <v>38</v>
      </c>
      <c r="G720" t="s">
        <v>39</v>
      </c>
      <c r="H720" t="s">
        <v>56</v>
      </c>
      <c r="I720" t="s">
        <v>41</v>
      </c>
      <c r="J720" s="2">
        <v>45340</v>
      </c>
      <c r="K720" s="2">
        <v>45343</v>
      </c>
      <c r="L720" s="2">
        <v>45347</v>
      </c>
      <c r="M720" s="2">
        <v>45351</v>
      </c>
      <c r="N720" s="2">
        <v>45360</v>
      </c>
      <c r="O720">
        <v>1</v>
      </c>
      <c r="P720">
        <v>1</v>
      </c>
      <c r="Q720">
        <v>0</v>
      </c>
      <c r="R720">
        <v>0</v>
      </c>
      <c r="S720">
        <v>0</v>
      </c>
      <c r="T720" t="s">
        <v>34</v>
      </c>
      <c r="U720">
        <v>73</v>
      </c>
      <c r="W720">
        <v>12</v>
      </c>
    </row>
    <row r="721" spans="1:25">
      <c r="A721" s="1" t="s">
        <v>790</v>
      </c>
      <c r="B721" t="s">
        <v>70</v>
      </c>
      <c r="C721" t="s">
        <v>71</v>
      </c>
      <c r="D721" t="s">
        <v>59</v>
      </c>
      <c r="E721" t="s">
        <v>66</v>
      </c>
      <c r="F721" t="s">
        <v>38</v>
      </c>
      <c r="G721" t="s">
        <v>60</v>
      </c>
      <c r="H721" t="s">
        <v>40</v>
      </c>
      <c r="I721" t="s">
        <v>33</v>
      </c>
      <c r="J721" s="2">
        <v>45256</v>
      </c>
      <c r="K721" s="2">
        <v>45260</v>
      </c>
      <c r="L721" s="2">
        <v>45266</v>
      </c>
      <c r="M721" s="2">
        <v>45273</v>
      </c>
      <c r="N721" s="2">
        <v>45290</v>
      </c>
      <c r="O721">
        <v>1</v>
      </c>
      <c r="P721">
        <v>1</v>
      </c>
      <c r="Q721">
        <v>0</v>
      </c>
      <c r="R721">
        <v>0</v>
      </c>
      <c r="S721">
        <v>0</v>
      </c>
      <c r="T721" t="s">
        <v>34</v>
      </c>
      <c r="U721">
        <v>60</v>
      </c>
      <c r="W721">
        <v>7</v>
      </c>
    </row>
    <row r="722" spans="1:25">
      <c r="A722" s="1" t="s">
        <v>791</v>
      </c>
      <c r="B722" t="s">
        <v>70</v>
      </c>
      <c r="C722" t="s">
        <v>27</v>
      </c>
      <c r="D722" t="s">
        <v>44</v>
      </c>
      <c r="E722" t="s">
        <v>54</v>
      </c>
      <c r="F722" t="s">
        <v>64</v>
      </c>
      <c r="G722" t="s">
        <v>60</v>
      </c>
      <c r="H722" t="s">
        <v>56</v>
      </c>
      <c r="I722" t="s">
        <v>33</v>
      </c>
      <c r="J722" s="2">
        <v>45014</v>
      </c>
      <c r="K722" s="2">
        <v>45016</v>
      </c>
      <c r="L722" s="2">
        <v>45024</v>
      </c>
      <c r="M722" s="2">
        <v>45028</v>
      </c>
      <c r="N722" s="2">
        <v>45041</v>
      </c>
      <c r="O722">
        <v>1</v>
      </c>
      <c r="P722">
        <v>1</v>
      </c>
      <c r="Q722">
        <v>1</v>
      </c>
      <c r="R722">
        <v>1</v>
      </c>
      <c r="S722">
        <v>0</v>
      </c>
      <c r="T722" t="s">
        <v>61</v>
      </c>
      <c r="U722">
        <v>68</v>
      </c>
      <c r="V722">
        <v>27</v>
      </c>
      <c r="W722">
        <v>2</v>
      </c>
      <c r="X722">
        <v>677910</v>
      </c>
    </row>
    <row r="723" spans="1:25">
      <c r="A723" s="1" t="s">
        <v>792</v>
      </c>
      <c r="B723" t="s">
        <v>43</v>
      </c>
      <c r="C723" t="s">
        <v>27</v>
      </c>
      <c r="D723" t="s">
        <v>52</v>
      </c>
      <c r="E723" t="s">
        <v>102</v>
      </c>
      <c r="F723" t="s">
        <v>64</v>
      </c>
      <c r="G723" t="s">
        <v>39</v>
      </c>
      <c r="H723" t="s">
        <v>56</v>
      </c>
      <c r="I723" t="s">
        <v>41</v>
      </c>
      <c r="J723" s="2">
        <v>45082</v>
      </c>
      <c r="K723" s="2">
        <v>45086</v>
      </c>
      <c r="L723" s="2">
        <v>45095</v>
      </c>
      <c r="M723" s="2">
        <v>45101</v>
      </c>
      <c r="N723" s="2">
        <v>45098</v>
      </c>
      <c r="O723">
        <v>1</v>
      </c>
      <c r="P723">
        <v>1</v>
      </c>
      <c r="Q723">
        <v>0</v>
      </c>
      <c r="R723">
        <v>0</v>
      </c>
      <c r="S723">
        <v>0</v>
      </c>
      <c r="T723" t="s">
        <v>34</v>
      </c>
      <c r="U723">
        <v>58</v>
      </c>
      <c r="W723">
        <v>1</v>
      </c>
    </row>
    <row r="724" spans="1:25">
      <c r="A724" s="1" t="s">
        <v>793</v>
      </c>
      <c r="B724" t="s">
        <v>26</v>
      </c>
      <c r="C724" t="s">
        <v>37</v>
      </c>
      <c r="D724" t="s">
        <v>73</v>
      </c>
      <c r="E724" t="s">
        <v>54</v>
      </c>
      <c r="F724" t="s">
        <v>48</v>
      </c>
      <c r="G724" t="s">
        <v>31</v>
      </c>
      <c r="H724" t="s">
        <v>56</v>
      </c>
      <c r="I724" t="s">
        <v>33</v>
      </c>
      <c r="J724" s="2">
        <v>45256</v>
      </c>
      <c r="K724" s="2">
        <v>45261</v>
      </c>
      <c r="L724" s="2">
        <v>45268</v>
      </c>
      <c r="M724" s="2">
        <v>45270</v>
      </c>
      <c r="N724" s="2">
        <v>45271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74</v>
      </c>
      <c r="U724">
        <v>55</v>
      </c>
      <c r="W724">
        <v>4</v>
      </c>
    </row>
    <row r="725" spans="1:25">
      <c r="A725" s="1" t="s">
        <v>794</v>
      </c>
      <c r="B725" t="s">
        <v>36</v>
      </c>
      <c r="C725" t="s">
        <v>27</v>
      </c>
      <c r="D725" t="s">
        <v>73</v>
      </c>
      <c r="E725" t="s">
        <v>54</v>
      </c>
      <c r="F725" t="s">
        <v>30</v>
      </c>
      <c r="G725" t="s">
        <v>60</v>
      </c>
      <c r="H725" t="s">
        <v>32</v>
      </c>
      <c r="I725" t="s">
        <v>41</v>
      </c>
      <c r="J725" s="2">
        <v>45366</v>
      </c>
      <c r="K725" s="2">
        <v>45370</v>
      </c>
      <c r="L725" s="2">
        <v>45379</v>
      </c>
      <c r="M725" s="2">
        <v>45385</v>
      </c>
      <c r="N725" s="2">
        <v>45388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74</v>
      </c>
      <c r="U725">
        <v>50</v>
      </c>
      <c r="W725">
        <v>0</v>
      </c>
    </row>
    <row r="726" spans="1:25">
      <c r="A726" s="1" t="s">
        <v>795</v>
      </c>
      <c r="B726" t="s">
        <v>70</v>
      </c>
      <c r="C726" t="s">
        <v>47</v>
      </c>
      <c r="D726" t="s">
        <v>44</v>
      </c>
      <c r="E726" t="s">
        <v>29</v>
      </c>
      <c r="F726" t="s">
        <v>64</v>
      </c>
      <c r="G726" t="s">
        <v>45</v>
      </c>
      <c r="H726" t="s">
        <v>40</v>
      </c>
      <c r="I726" t="s">
        <v>33</v>
      </c>
      <c r="J726" s="2">
        <v>45165</v>
      </c>
      <c r="K726" s="2">
        <v>45166</v>
      </c>
      <c r="L726" s="2">
        <v>45175</v>
      </c>
      <c r="M726" s="2">
        <v>45179</v>
      </c>
      <c r="N726" s="2">
        <v>45200</v>
      </c>
      <c r="O726">
        <v>1</v>
      </c>
      <c r="P726">
        <v>0</v>
      </c>
      <c r="Q726">
        <v>0</v>
      </c>
      <c r="R726">
        <v>0</v>
      </c>
      <c r="S726">
        <v>0</v>
      </c>
      <c r="T726" t="s">
        <v>34</v>
      </c>
      <c r="U726">
        <v>59</v>
      </c>
      <c r="W726">
        <v>14</v>
      </c>
    </row>
    <row r="727" spans="1:25">
      <c r="A727" s="1" t="s">
        <v>796</v>
      </c>
      <c r="B727" t="s">
        <v>70</v>
      </c>
      <c r="C727" t="s">
        <v>37</v>
      </c>
      <c r="D727" t="s">
        <v>59</v>
      </c>
      <c r="E727" t="s">
        <v>29</v>
      </c>
      <c r="F727" t="s">
        <v>48</v>
      </c>
      <c r="G727" t="s">
        <v>60</v>
      </c>
      <c r="H727" t="s">
        <v>56</v>
      </c>
      <c r="I727" t="s">
        <v>33</v>
      </c>
      <c r="J727" s="2">
        <v>44979</v>
      </c>
      <c r="K727" s="2">
        <v>44980</v>
      </c>
      <c r="L727" s="2">
        <v>44986</v>
      </c>
      <c r="M727" s="2">
        <v>44990</v>
      </c>
      <c r="N727" s="2">
        <v>45019</v>
      </c>
      <c r="O727">
        <v>1</v>
      </c>
      <c r="P727">
        <v>0</v>
      </c>
      <c r="Q727">
        <v>0</v>
      </c>
      <c r="R727">
        <v>0</v>
      </c>
      <c r="S727">
        <v>0</v>
      </c>
      <c r="T727" t="s">
        <v>34</v>
      </c>
      <c r="U727">
        <v>77</v>
      </c>
      <c r="W727">
        <v>3</v>
      </c>
    </row>
    <row r="728" spans="1:25">
      <c r="A728" s="1" t="s">
        <v>797</v>
      </c>
      <c r="B728" t="s">
        <v>58</v>
      </c>
      <c r="C728" t="s">
        <v>78</v>
      </c>
      <c r="D728" t="s">
        <v>73</v>
      </c>
      <c r="E728" t="s">
        <v>63</v>
      </c>
      <c r="F728" t="s">
        <v>48</v>
      </c>
      <c r="G728" t="s">
        <v>60</v>
      </c>
      <c r="H728" t="s">
        <v>56</v>
      </c>
      <c r="I728" t="s">
        <v>33</v>
      </c>
      <c r="J728" s="2">
        <v>45028</v>
      </c>
      <c r="K728" s="2">
        <v>45030</v>
      </c>
      <c r="L728" s="2">
        <v>45036</v>
      </c>
      <c r="M728" s="2">
        <v>45040</v>
      </c>
      <c r="N728" s="2">
        <v>45042</v>
      </c>
      <c r="O728">
        <v>1</v>
      </c>
      <c r="P728">
        <v>0</v>
      </c>
      <c r="Q728">
        <v>0</v>
      </c>
      <c r="R728">
        <v>0</v>
      </c>
      <c r="S728">
        <v>0</v>
      </c>
      <c r="T728" t="s">
        <v>34</v>
      </c>
      <c r="U728">
        <v>68</v>
      </c>
      <c r="W728">
        <v>6</v>
      </c>
    </row>
    <row r="729" spans="1:25">
      <c r="A729" s="1" t="s">
        <v>798</v>
      </c>
      <c r="B729" t="s">
        <v>70</v>
      </c>
      <c r="C729" t="s">
        <v>37</v>
      </c>
      <c r="D729" t="s">
        <v>73</v>
      </c>
      <c r="E729" t="s">
        <v>66</v>
      </c>
      <c r="F729" t="s">
        <v>64</v>
      </c>
      <c r="G729" t="s">
        <v>55</v>
      </c>
      <c r="H729" t="s">
        <v>40</v>
      </c>
      <c r="I729" t="s">
        <v>33</v>
      </c>
      <c r="J729" s="2">
        <v>45123</v>
      </c>
      <c r="K729" s="2">
        <v>45124</v>
      </c>
      <c r="L729" s="2">
        <v>45133</v>
      </c>
      <c r="M729" s="2">
        <v>45136</v>
      </c>
      <c r="N729" s="2">
        <v>45160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74</v>
      </c>
      <c r="U729">
        <v>88</v>
      </c>
      <c r="W729">
        <v>1</v>
      </c>
    </row>
    <row r="730" spans="1:25">
      <c r="A730" s="1" t="s">
        <v>799</v>
      </c>
      <c r="B730" t="s">
        <v>58</v>
      </c>
      <c r="C730" t="s">
        <v>27</v>
      </c>
      <c r="D730" t="s">
        <v>73</v>
      </c>
      <c r="E730" t="s">
        <v>54</v>
      </c>
      <c r="F730" t="s">
        <v>48</v>
      </c>
      <c r="G730" t="s">
        <v>39</v>
      </c>
      <c r="H730" t="s">
        <v>32</v>
      </c>
      <c r="I730" t="s">
        <v>41</v>
      </c>
      <c r="J730" s="2">
        <v>45301</v>
      </c>
      <c r="K730" s="2">
        <v>45306</v>
      </c>
      <c r="L730" s="2">
        <v>45313</v>
      </c>
      <c r="M730" s="2">
        <v>45315</v>
      </c>
      <c r="N730" s="2">
        <v>45317</v>
      </c>
      <c r="O730">
        <v>1</v>
      </c>
      <c r="P730">
        <v>1</v>
      </c>
      <c r="Q730">
        <v>1</v>
      </c>
      <c r="R730">
        <v>0</v>
      </c>
      <c r="S730">
        <v>0</v>
      </c>
      <c r="T730" t="s">
        <v>49</v>
      </c>
      <c r="U730">
        <v>74</v>
      </c>
      <c r="W730">
        <v>0</v>
      </c>
      <c r="X730">
        <v>571732</v>
      </c>
      <c r="Y730" t="s">
        <v>80</v>
      </c>
    </row>
    <row r="731" spans="1:25">
      <c r="A731" s="1" t="s">
        <v>800</v>
      </c>
      <c r="B731" t="s">
        <v>26</v>
      </c>
      <c r="C731" t="s">
        <v>37</v>
      </c>
      <c r="D731" t="s">
        <v>28</v>
      </c>
      <c r="E731" t="s">
        <v>66</v>
      </c>
      <c r="F731" t="s">
        <v>48</v>
      </c>
      <c r="G731" t="s">
        <v>39</v>
      </c>
      <c r="H731" t="s">
        <v>56</v>
      </c>
      <c r="I731" t="s">
        <v>33</v>
      </c>
      <c r="J731" s="2">
        <v>45140</v>
      </c>
      <c r="K731" s="2">
        <v>45142</v>
      </c>
      <c r="L731" s="2">
        <v>45152</v>
      </c>
      <c r="M731" s="2">
        <v>45154</v>
      </c>
      <c r="N731" s="2">
        <v>45152</v>
      </c>
      <c r="O731">
        <v>1</v>
      </c>
      <c r="P731">
        <v>1</v>
      </c>
      <c r="Q731">
        <v>1</v>
      </c>
      <c r="R731">
        <v>1</v>
      </c>
      <c r="S731">
        <v>0</v>
      </c>
      <c r="T731" t="s">
        <v>61</v>
      </c>
      <c r="U731">
        <v>62</v>
      </c>
      <c r="V731">
        <v>12</v>
      </c>
      <c r="W731">
        <v>3</v>
      </c>
      <c r="X731">
        <v>891833</v>
      </c>
    </row>
    <row r="732" spans="1:25">
      <c r="A732" s="1" t="s">
        <v>801</v>
      </c>
      <c r="B732" t="s">
        <v>58</v>
      </c>
      <c r="C732" t="s">
        <v>27</v>
      </c>
      <c r="D732" t="s">
        <v>44</v>
      </c>
      <c r="E732" t="s">
        <v>102</v>
      </c>
      <c r="F732" t="s">
        <v>38</v>
      </c>
      <c r="G732" t="s">
        <v>31</v>
      </c>
      <c r="H732" t="s">
        <v>40</v>
      </c>
      <c r="I732" t="s">
        <v>33</v>
      </c>
      <c r="J732" s="2">
        <v>45284</v>
      </c>
      <c r="K732" s="2">
        <v>45286</v>
      </c>
      <c r="L732" s="2">
        <v>45294</v>
      </c>
      <c r="M732" s="2">
        <v>45298</v>
      </c>
      <c r="N732" s="2">
        <v>45300</v>
      </c>
      <c r="O732">
        <v>1</v>
      </c>
      <c r="P732">
        <v>1</v>
      </c>
      <c r="Q732">
        <v>1</v>
      </c>
      <c r="R732">
        <v>1</v>
      </c>
      <c r="S732">
        <v>0</v>
      </c>
      <c r="T732" t="s">
        <v>61</v>
      </c>
      <c r="U732">
        <v>73</v>
      </c>
      <c r="V732">
        <v>16</v>
      </c>
      <c r="W732">
        <v>1</v>
      </c>
      <c r="X732">
        <v>653709</v>
      </c>
    </row>
    <row r="733" spans="1:25">
      <c r="A733" s="1" t="s">
        <v>802</v>
      </c>
      <c r="B733" t="s">
        <v>36</v>
      </c>
      <c r="C733" t="s">
        <v>47</v>
      </c>
      <c r="D733" t="s">
        <v>28</v>
      </c>
      <c r="E733" t="s">
        <v>54</v>
      </c>
      <c r="F733" t="s">
        <v>30</v>
      </c>
      <c r="G733" t="s">
        <v>60</v>
      </c>
      <c r="H733" t="s">
        <v>56</v>
      </c>
      <c r="I733" t="s">
        <v>41</v>
      </c>
      <c r="J733" s="2">
        <v>45207</v>
      </c>
      <c r="K733" s="2">
        <v>45210</v>
      </c>
      <c r="L733" s="2">
        <v>45217</v>
      </c>
      <c r="M733" s="2">
        <v>45221</v>
      </c>
      <c r="N733" s="2">
        <v>45237</v>
      </c>
      <c r="O733">
        <v>1</v>
      </c>
      <c r="P733">
        <v>1</v>
      </c>
      <c r="Q733">
        <v>1</v>
      </c>
      <c r="R733">
        <v>0</v>
      </c>
      <c r="S733">
        <v>0</v>
      </c>
      <c r="T733" t="s">
        <v>49</v>
      </c>
      <c r="U733">
        <v>79</v>
      </c>
      <c r="W733">
        <v>8</v>
      </c>
      <c r="X733">
        <v>2836878</v>
      </c>
      <c r="Y733" t="s">
        <v>68</v>
      </c>
    </row>
    <row r="734" spans="1:25">
      <c r="A734" s="1" t="s">
        <v>803</v>
      </c>
      <c r="B734" t="s">
        <v>90</v>
      </c>
      <c r="C734" t="s">
        <v>27</v>
      </c>
      <c r="D734" t="s">
        <v>59</v>
      </c>
      <c r="E734" t="s">
        <v>102</v>
      </c>
      <c r="F734" t="s">
        <v>64</v>
      </c>
      <c r="G734" t="s">
        <v>60</v>
      </c>
      <c r="H734" t="s">
        <v>32</v>
      </c>
      <c r="I734" t="s">
        <v>33</v>
      </c>
      <c r="J734" s="2">
        <v>45339</v>
      </c>
      <c r="K734" s="2">
        <v>45341</v>
      </c>
      <c r="L734" s="2">
        <v>45347</v>
      </c>
      <c r="M734" s="2">
        <v>45354</v>
      </c>
      <c r="N734" s="2">
        <v>45365</v>
      </c>
      <c r="O734">
        <v>1</v>
      </c>
      <c r="P734">
        <v>1</v>
      </c>
      <c r="Q734">
        <v>1</v>
      </c>
      <c r="R734">
        <v>0</v>
      </c>
      <c r="S734">
        <v>0</v>
      </c>
      <c r="T734" t="s">
        <v>49</v>
      </c>
      <c r="U734">
        <v>67</v>
      </c>
      <c r="W734">
        <v>0</v>
      </c>
      <c r="X734">
        <v>660907</v>
      </c>
      <c r="Y734" t="s">
        <v>50</v>
      </c>
    </row>
    <row r="735" spans="1:25">
      <c r="A735" s="1" t="s">
        <v>804</v>
      </c>
      <c r="B735" t="s">
        <v>58</v>
      </c>
      <c r="C735" t="s">
        <v>78</v>
      </c>
      <c r="D735" t="s">
        <v>44</v>
      </c>
      <c r="E735" t="s">
        <v>102</v>
      </c>
      <c r="F735" t="s">
        <v>67</v>
      </c>
      <c r="G735" t="s">
        <v>39</v>
      </c>
      <c r="H735" t="s">
        <v>32</v>
      </c>
      <c r="I735" t="s">
        <v>41</v>
      </c>
      <c r="J735" s="2">
        <v>45031</v>
      </c>
      <c r="K735" s="2">
        <v>45036</v>
      </c>
      <c r="L735" s="2">
        <v>45045</v>
      </c>
      <c r="M735" s="2">
        <v>45047</v>
      </c>
      <c r="N735" s="2">
        <v>45046</v>
      </c>
      <c r="O735">
        <v>1</v>
      </c>
      <c r="P735">
        <v>1</v>
      </c>
      <c r="Q735">
        <v>0</v>
      </c>
      <c r="R735">
        <v>0</v>
      </c>
      <c r="S735">
        <v>0</v>
      </c>
      <c r="T735" t="s">
        <v>34</v>
      </c>
      <c r="U735">
        <v>59</v>
      </c>
      <c r="W735">
        <v>9</v>
      </c>
    </row>
    <row r="736" spans="1:25">
      <c r="A736" s="1" t="s">
        <v>805</v>
      </c>
      <c r="B736" t="s">
        <v>43</v>
      </c>
      <c r="C736" t="s">
        <v>47</v>
      </c>
      <c r="D736" t="s">
        <v>44</v>
      </c>
      <c r="E736" t="s">
        <v>54</v>
      </c>
      <c r="F736" t="s">
        <v>67</v>
      </c>
      <c r="G736" t="s">
        <v>31</v>
      </c>
      <c r="H736" t="s">
        <v>56</v>
      </c>
      <c r="I736" t="s">
        <v>41</v>
      </c>
      <c r="J736" s="2">
        <v>45285</v>
      </c>
      <c r="K736" s="2">
        <v>45286</v>
      </c>
      <c r="L736" s="2">
        <v>45296</v>
      </c>
      <c r="M736" s="2">
        <v>45298</v>
      </c>
      <c r="N736" s="2">
        <v>45305</v>
      </c>
      <c r="O736">
        <v>1</v>
      </c>
      <c r="P736">
        <v>0</v>
      </c>
      <c r="Q736">
        <v>0</v>
      </c>
      <c r="R736">
        <v>0</v>
      </c>
      <c r="S736">
        <v>0</v>
      </c>
      <c r="T736" t="s">
        <v>34</v>
      </c>
      <c r="U736">
        <v>74</v>
      </c>
      <c r="W736">
        <v>8</v>
      </c>
    </row>
    <row r="737" spans="1:25">
      <c r="A737" s="1" t="s">
        <v>806</v>
      </c>
      <c r="B737" t="s">
        <v>36</v>
      </c>
      <c r="C737" t="s">
        <v>71</v>
      </c>
      <c r="D737" t="s">
        <v>28</v>
      </c>
      <c r="E737" t="s">
        <v>66</v>
      </c>
      <c r="F737" t="s">
        <v>30</v>
      </c>
      <c r="G737" t="s">
        <v>45</v>
      </c>
      <c r="H737" t="s">
        <v>32</v>
      </c>
      <c r="I737" t="s">
        <v>41</v>
      </c>
      <c r="J737" s="2">
        <v>45425</v>
      </c>
      <c r="K737" s="2">
        <v>45429</v>
      </c>
      <c r="L737" s="2">
        <v>45432</v>
      </c>
      <c r="M737" s="2">
        <v>45436</v>
      </c>
      <c r="N737" s="2">
        <v>45451</v>
      </c>
      <c r="O737">
        <v>1</v>
      </c>
      <c r="P737">
        <v>0</v>
      </c>
      <c r="Q737">
        <v>0</v>
      </c>
      <c r="R737">
        <v>0</v>
      </c>
      <c r="S737">
        <v>0</v>
      </c>
      <c r="T737" t="s">
        <v>34</v>
      </c>
      <c r="U737">
        <v>91</v>
      </c>
      <c r="W737">
        <v>5</v>
      </c>
    </row>
    <row r="738" spans="1:25">
      <c r="A738" s="1" t="s">
        <v>807</v>
      </c>
      <c r="B738" t="s">
        <v>70</v>
      </c>
      <c r="C738" t="s">
        <v>37</v>
      </c>
      <c r="D738" t="s">
        <v>73</v>
      </c>
      <c r="E738" t="s">
        <v>29</v>
      </c>
      <c r="F738" t="s">
        <v>67</v>
      </c>
      <c r="G738" t="s">
        <v>55</v>
      </c>
      <c r="H738" t="s">
        <v>40</v>
      </c>
      <c r="I738" t="s">
        <v>33</v>
      </c>
      <c r="J738" s="2">
        <v>45026</v>
      </c>
      <c r="K738" s="2">
        <v>45028</v>
      </c>
      <c r="L738" s="2">
        <v>45035</v>
      </c>
      <c r="M738" s="2">
        <v>45042</v>
      </c>
      <c r="N738" s="2">
        <v>45066</v>
      </c>
      <c r="O738">
        <v>1</v>
      </c>
      <c r="P738">
        <v>1</v>
      </c>
      <c r="Q738">
        <v>1</v>
      </c>
      <c r="R738">
        <v>0</v>
      </c>
      <c r="S738">
        <v>0</v>
      </c>
      <c r="T738" t="s">
        <v>49</v>
      </c>
      <c r="U738">
        <v>62</v>
      </c>
      <c r="W738">
        <v>2</v>
      </c>
      <c r="X738">
        <v>710890</v>
      </c>
      <c r="Y738" t="s">
        <v>87</v>
      </c>
    </row>
    <row r="739" spans="1:25">
      <c r="A739" s="1" t="s">
        <v>808</v>
      </c>
      <c r="B739" t="s">
        <v>43</v>
      </c>
      <c r="C739" t="s">
        <v>78</v>
      </c>
      <c r="D739" t="s">
        <v>73</v>
      </c>
      <c r="E739" t="s">
        <v>54</v>
      </c>
      <c r="F739" t="s">
        <v>30</v>
      </c>
      <c r="G739" t="s">
        <v>55</v>
      </c>
      <c r="H739" t="s">
        <v>56</v>
      </c>
      <c r="I739" t="s">
        <v>33</v>
      </c>
      <c r="J739" s="2">
        <v>45105</v>
      </c>
      <c r="K739" s="2">
        <v>45106</v>
      </c>
      <c r="L739" s="2">
        <v>45109</v>
      </c>
      <c r="M739" s="2">
        <v>45112</v>
      </c>
      <c r="N739" s="2">
        <v>45133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74</v>
      </c>
      <c r="U739">
        <v>84</v>
      </c>
      <c r="W739">
        <v>9</v>
      </c>
    </row>
    <row r="740" spans="1:25">
      <c r="A740" s="1" t="s">
        <v>809</v>
      </c>
      <c r="B740" t="s">
        <v>90</v>
      </c>
      <c r="C740" t="s">
        <v>78</v>
      </c>
      <c r="D740" t="s">
        <v>44</v>
      </c>
      <c r="E740" t="s">
        <v>54</v>
      </c>
      <c r="F740" t="s">
        <v>67</v>
      </c>
      <c r="G740" t="s">
        <v>39</v>
      </c>
      <c r="H740" t="s">
        <v>32</v>
      </c>
      <c r="I740" t="s">
        <v>33</v>
      </c>
      <c r="J740" s="2">
        <v>45130</v>
      </c>
      <c r="K740" s="2">
        <v>45134</v>
      </c>
      <c r="L740" s="2">
        <v>45139</v>
      </c>
      <c r="M740" s="2">
        <v>45145</v>
      </c>
      <c r="N740" s="2">
        <v>45156</v>
      </c>
      <c r="O740">
        <v>1</v>
      </c>
      <c r="P740">
        <v>1</v>
      </c>
      <c r="Q740">
        <v>1</v>
      </c>
      <c r="R740">
        <v>0</v>
      </c>
      <c r="S740">
        <v>1</v>
      </c>
      <c r="T740" t="s">
        <v>49</v>
      </c>
      <c r="U740">
        <v>61</v>
      </c>
      <c r="W740">
        <v>10</v>
      </c>
      <c r="X740">
        <v>1716869</v>
      </c>
      <c r="Y740" t="s">
        <v>50</v>
      </c>
    </row>
    <row r="741" spans="1:25">
      <c r="A741" s="1" t="s">
        <v>810</v>
      </c>
      <c r="B741" t="s">
        <v>58</v>
      </c>
      <c r="C741" t="s">
        <v>78</v>
      </c>
      <c r="D741" t="s">
        <v>59</v>
      </c>
      <c r="E741" t="s">
        <v>63</v>
      </c>
      <c r="F741" t="s">
        <v>64</v>
      </c>
      <c r="G741" t="s">
        <v>55</v>
      </c>
      <c r="H741" t="s">
        <v>40</v>
      </c>
      <c r="I741" t="s">
        <v>33</v>
      </c>
      <c r="J741" s="2">
        <v>45106</v>
      </c>
      <c r="K741" s="2">
        <v>45107</v>
      </c>
      <c r="L741" s="2">
        <v>45113</v>
      </c>
      <c r="M741" s="2">
        <v>45117</v>
      </c>
      <c r="N741" s="2">
        <v>45122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74</v>
      </c>
      <c r="U741">
        <v>51</v>
      </c>
      <c r="W741">
        <v>6</v>
      </c>
    </row>
    <row r="742" spans="1:25">
      <c r="A742" s="1" t="s">
        <v>811</v>
      </c>
      <c r="B742" t="s">
        <v>70</v>
      </c>
      <c r="C742" t="s">
        <v>27</v>
      </c>
      <c r="D742" t="s">
        <v>59</v>
      </c>
      <c r="E742" t="s">
        <v>54</v>
      </c>
      <c r="F742" t="s">
        <v>38</v>
      </c>
      <c r="G742" t="s">
        <v>55</v>
      </c>
      <c r="H742" t="s">
        <v>40</v>
      </c>
      <c r="I742" t="s">
        <v>33</v>
      </c>
      <c r="J742" s="2">
        <v>45313</v>
      </c>
      <c r="K742" s="2">
        <v>45318</v>
      </c>
      <c r="L742" s="2">
        <v>45328</v>
      </c>
      <c r="M742" s="2">
        <v>45332</v>
      </c>
      <c r="N742" s="2">
        <v>45343</v>
      </c>
      <c r="O742">
        <v>1</v>
      </c>
      <c r="P742">
        <v>1</v>
      </c>
      <c r="Q742">
        <v>0</v>
      </c>
      <c r="R742">
        <v>0</v>
      </c>
      <c r="S742">
        <v>0</v>
      </c>
      <c r="T742" t="s">
        <v>34</v>
      </c>
      <c r="U742">
        <v>63</v>
      </c>
      <c r="W742">
        <v>1</v>
      </c>
    </row>
    <row r="743" spans="1:25">
      <c r="A743" s="1" t="s">
        <v>812</v>
      </c>
      <c r="B743" t="s">
        <v>90</v>
      </c>
      <c r="C743" t="s">
        <v>47</v>
      </c>
      <c r="D743" t="s">
        <v>73</v>
      </c>
      <c r="E743" t="s">
        <v>66</v>
      </c>
      <c r="F743" t="s">
        <v>38</v>
      </c>
      <c r="G743" t="s">
        <v>39</v>
      </c>
      <c r="H743" t="s">
        <v>40</v>
      </c>
      <c r="I743" t="s">
        <v>41</v>
      </c>
      <c r="J743" s="2">
        <v>44990</v>
      </c>
      <c r="K743" s="2">
        <v>44995</v>
      </c>
      <c r="L743" s="2">
        <v>45003</v>
      </c>
      <c r="M743" s="2">
        <v>45006</v>
      </c>
      <c r="N743" s="2">
        <v>45009</v>
      </c>
      <c r="O743">
        <v>1</v>
      </c>
      <c r="P743">
        <v>1</v>
      </c>
      <c r="Q743">
        <v>1</v>
      </c>
      <c r="R743">
        <v>1</v>
      </c>
      <c r="S743">
        <v>0</v>
      </c>
      <c r="T743" t="s">
        <v>61</v>
      </c>
      <c r="U743">
        <v>83</v>
      </c>
      <c r="V743">
        <v>19</v>
      </c>
      <c r="W743">
        <v>10</v>
      </c>
      <c r="X743">
        <v>2653955</v>
      </c>
    </row>
    <row r="744" spans="1:25">
      <c r="A744" s="1" t="s">
        <v>813</v>
      </c>
      <c r="B744" t="s">
        <v>43</v>
      </c>
      <c r="C744" t="s">
        <v>71</v>
      </c>
      <c r="D744" t="s">
        <v>59</v>
      </c>
      <c r="E744" t="s">
        <v>63</v>
      </c>
      <c r="F744" t="s">
        <v>38</v>
      </c>
      <c r="G744" t="s">
        <v>45</v>
      </c>
      <c r="H744" t="s">
        <v>56</v>
      </c>
      <c r="I744" t="s">
        <v>41</v>
      </c>
      <c r="J744" s="2">
        <v>45188</v>
      </c>
      <c r="K744" s="2">
        <v>45189</v>
      </c>
      <c r="L744" s="2">
        <v>45195</v>
      </c>
      <c r="M744" s="2">
        <v>45199</v>
      </c>
      <c r="N744" s="2">
        <v>45208</v>
      </c>
      <c r="O744">
        <v>1</v>
      </c>
      <c r="P744">
        <v>1</v>
      </c>
      <c r="Q744">
        <v>1</v>
      </c>
      <c r="R744">
        <v>0</v>
      </c>
      <c r="S744">
        <v>0</v>
      </c>
      <c r="T744" t="s">
        <v>49</v>
      </c>
      <c r="U744">
        <v>46</v>
      </c>
      <c r="W744">
        <v>7</v>
      </c>
      <c r="X744">
        <v>1397401</v>
      </c>
      <c r="Y744" t="s">
        <v>80</v>
      </c>
    </row>
    <row r="745" spans="1:25">
      <c r="A745" s="1" t="s">
        <v>814</v>
      </c>
      <c r="B745" t="s">
        <v>90</v>
      </c>
      <c r="C745" t="s">
        <v>78</v>
      </c>
      <c r="D745" t="s">
        <v>73</v>
      </c>
      <c r="E745" t="s">
        <v>54</v>
      </c>
      <c r="F745" t="s">
        <v>76</v>
      </c>
      <c r="G745" t="s">
        <v>55</v>
      </c>
      <c r="H745" t="s">
        <v>56</v>
      </c>
      <c r="I745" t="s">
        <v>33</v>
      </c>
      <c r="J745" s="2">
        <v>45000</v>
      </c>
      <c r="K745" s="2">
        <v>45001</v>
      </c>
      <c r="L745" s="2">
        <v>45009</v>
      </c>
      <c r="M745" s="2">
        <v>45015</v>
      </c>
      <c r="N745" s="2">
        <v>45035</v>
      </c>
      <c r="O745">
        <v>1</v>
      </c>
      <c r="P745">
        <v>1</v>
      </c>
      <c r="Q745">
        <v>1</v>
      </c>
      <c r="R745">
        <v>1</v>
      </c>
      <c r="S745">
        <v>0</v>
      </c>
      <c r="T745" t="s">
        <v>61</v>
      </c>
      <c r="U745">
        <v>53</v>
      </c>
      <c r="V745">
        <v>35</v>
      </c>
      <c r="W745">
        <v>9</v>
      </c>
      <c r="X745">
        <v>1633681</v>
      </c>
    </row>
    <row r="746" spans="1:25">
      <c r="A746" s="1" t="s">
        <v>815</v>
      </c>
      <c r="B746" t="s">
        <v>43</v>
      </c>
      <c r="C746" t="s">
        <v>78</v>
      </c>
      <c r="D746" t="s">
        <v>59</v>
      </c>
      <c r="E746" t="s">
        <v>63</v>
      </c>
      <c r="F746" t="s">
        <v>67</v>
      </c>
      <c r="G746" t="s">
        <v>39</v>
      </c>
      <c r="H746" t="s">
        <v>32</v>
      </c>
      <c r="I746" t="s">
        <v>33</v>
      </c>
      <c r="J746" s="2">
        <v>45142</v>
      </c>
      <c r="K746" s="2">
        <v>45144</v>
      </c>
      <c r="L746" s="2">
        <v>45150</v>
      </c>
      <c r="M746" s="2">
        <v>45157</v>
      </c>
      <c r="N746" s="2">
        <v>45165</v>
      </c>
      <c r="O746">
        <v>1</v>
      </c>
      <c r="P746">
        <v>1</v>
      </c>
      <c r="Q746">
        <v>1</v>
      </c>
      <c r="R746">
        <v>0</v>
      </c>
      <c r="S746">
        <v>0</v>
      </c>
      <c r="T746" t="s">
        <v>49</v>
      </c>
      <c r="U746">
        <v>96</v>
      </c>
      <c r="W746">
        <v>6</v>
      </c>
      <c r="X746">
        <v>2080746</v>
      </c>
      <c r="Y746" t="s">
        <v>80</v>
      </c>
    </row>
    <row r="747" spans="1:25">
      <c r="A747" s="1" t="s">
        <v>816</v>
      </c>
      <c r="B747" t="s">
        <v>26</v>
      </c>
      <c r="C747" t="s">
        <v>78</v>
      </c>
      <c r="D747" t="s">
        <v>59</v>
      </c>
      <c r="E747" t="s">
        <v>63</v>
      </c>
      <c r="F747" t="s">
        <v>38</v>
      </c>
      <c r="G747" t="s">
        <v>60</v>
      </c>
      <c r="H747" t="s">
        <v>32</v>
      </c>
      <c r="I747" t="s">
        <v>41</v>
      </c>
      <c r="J747" s="2">
        <v>45105</v>
      </c>
      <c r="K747" s="2">
        <v>45110</v>
      </c>
      <c r="L747" s="2">
        <v>45120</v>
      </c>
      <c r="M747" s="2">
        <v>45122</v>
      </c>
      <c r="N747" s="2">
        <v>45127</v>
      </c>
      <c r="O747">
        <v>1</v>
      </c>
      <c r="P747">
        <v>1</v>
      </c>
      <c r="Q747">
        <v>1</v>
      </c>
      <c r="R747">
        <v>1</v>
      </c>
      <c r="S747">
        <v>0</v>
      </c>
      <c r="T747" t="s">
        <v>61</v>
      </c>
      <c r="U747">
        <v>47</v>
      </c>
      <c r="V747">
        <v>22</v>
      </c>
      <c r="W747">
        <v>10</v>
      </c>
      <c r="X747">
        <v>2147285</v>
      </c>
    </row>
    <row r="748" spans="1:25">
      <c r="A748" s="1" t="s">
        <v>817</v>
      </c>
      <c r="B748" t="s">
        <v>58</v>
      </c>
      <c r="C748" t="s">
        <v>71</v>
      </c>
      <c r="D748" t="s">
        <v>59</v>
      </c>
      <c r="E748" t="s">
        <v>66</v>
      </c>
      <c r="F748" t="s">
        <v>67</v>
      </c>
      <c r="G748" t="s">
        <v>60</v>
      </c>
      <c r="H748" t="s">
        <v>40</v>
      </c>
      <c r="I748" t="s">
        <v>33</v>
      </c>
      <c r="J748" s="2">
        <v>45256</v>
      </c>
      <c r="K748" s="2">
        <v>45259</v>
      </c>
      <c r="L748" s="2">
        <v>45266</v>
      </c>
      <c r="M748" s="2">
        <v>45271</v>
      </c>
      <c r="N748" s="2">
        <v>45278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74</v>
      </c>
      <c r="U748">
        <v>87</v>
      </c>
      <c r="W748">
        <v>7</v>
      </c>
    </row>
    <row r="749" spans="1:25">
      <c r="A749" s="1" t="s">
        <v>818</v>
      </c>
      <c r="B749" t="s">
        <v>26</v>
      </c>
      <c r="C749" t="s">
        <v>47</v>
      </c>
      <c r="D749" t="s">
        <v>28</v>
      </c>
      <c r="E749" t="s">
        <v>63</v>
      </c>
      <c r="F749" t="s">
        <v>64</v>
      </c>
      <c r="G749" t="s">
        <v>55</v>
      </c>
      <c r="H749" t="s">
        <v>32</v>
      </c>
      <c r="I749" t="s">
        <v>33</v>
      </c>
      <c r="J749" s="2">
        <v>45093</v>
      </c>
      <c r="K749" s="2">
        <v>45096</v>
      </c>
      <c r="L749" s="2">
        <v>45103</v>
      </c>
      <c r="M749" s="2">
        <v>45106</v>
      </c>
      <c r="N749" s="2">
        <v>45106</v>
      </c>
      <c r="O749">
        <v>1</v>
      </c>
      <c r="P749">
        <v>0</v>
      </c>
      <c r="Q749">
        <v>0</v>
      </c>
      <c r="R749">
        <v>0</v>
      </c>
      <c r="S749">
        <v>0</v>
      </c>
      <c r="T749" t="s">
        <v>34</v>
      </c>
      <c r="U749">
        <v>47</v>
      </c>
      <c r="W749">
        <v>14</v>
      </c>
    </row>
    <row r="750" spans="1:25">
      <c r="A750" s="1" t="s">
        <v>819</v>
      </c>
      <c r="B750" t="s">
        <v>70</v>
      </c>
      <c r="C750" t="s">
        <v>37</v>
      </c>
      <c r="D750" t="s">
        <v>44</v>
      </c>
      <c r="E750" t="s">
        <v>63</v>
      </c>
      <c r="F750" t="s">
        <v>38</v>
      </c>
      <c r="G750" t="s">
        <v>31</v>
      </c>
      <c r="H750" t="s">
        <v>40</v>
      </c>
      <c r="I750" t="s">
        <v>33</v>
      </c>
      <c r="J750" s="2">
        <v>45155</v>
      </c>
      <c r="K750" s="2">
        <v>45156</v>
      </c>
      <c r="L750" s="2">
        <v>45164</v>
      </c>
      <c r="M750" s="2">
        <v>45169</v>
      </c>
      <c r="N750" s="2">
        <v>45183</v>
      </c>
      <c r="O750">
        <v>1</v>
      </c>
      <c r="P750">
        <v>1</v>
      </c>
      <c r="Q750">
        <v>1</v>
      </c>
      <c r="R750">
        <v>1</v>
      </c>
      <c r="S750">
        <v>0</v>
      </c>
      <c r="T750" t="s">
        <v>61</v>
      </c>
      <c r="U750">
        <v>56</v>
      </c>
      <c r="V750">
        <v>28</v>
      </c>
      <c r="W750">
        <v>2</v>
      </c>
      <c r="X750">
        <v>603053</v>
      </c>
    </row>
    <row r="751" spans="1:25">
      <c r="A751" s="1" t="s">
        <v>820</v>
      </c>
      <c r="B751" t="s">
        <v>26</v>
      </c>
      <c r="C751" t="s">
        <v>37</v>
      </c>
      <c r="D751" t="s">
        <v>73</v>
      </c>
      <c r="E751" t="s">
        <v>29</v>
      </c>
      <c r="F751" t="s">
        <v>76</v>
      </c>
      <c r="G751" t="s">
        <v>55</v>
      </c>
      <c r="H751" t="s">
        <v>40</v>
      </c>
      <c r="I751" t="s">
        <v>33</v>
      </c>
      <c r="J751" s="2">
        <v>45091</v>
      </c>
      <c r="K751" s="2">
        <v>45093</v>
      </c>
      <c r="L751" s="2">
        <v>45103</v>
      </c>
      <c r="M751" s="2">
        <v>45109</v>
      </c>
      <c r="N751" s="2">
        <v>45105</v>
      </c>
      <c r="O751">
        <v>1</v>
      </c>
      <c r="P751">
        <v>1</v>
      </c>
      <c r="Q751">
        <v>1</v>
      </c>
      <c r="R751">
        <v>0</v>
      </c>
      <c r="S751">
        <v>0</v>
      </c>
      <c r="T751" t="s">
        <v>49</v>
      </c>
      <c r="U751">
        <v>79</v>
      </c>
      <c r="W751">
        <v>4</v>
      </c>
      <c r="X751">
        <v>585543</v>
      </c>
      <c r="Y751" t="s">
        <v>68</v>
      </c>
    </row>
    <row r="752" spans="1:25">
      <c r="A752" s="1" t="s">
        <v>821</v>
      </c>
      <c r="B752" t="s">
        <v>70</v>
      </c>
      <c r="C752" t="s">
        <v>27</v>
      </c>
      <c r="D752" t="s">
        <v>73</v>
      </c>
      <c r="E752" t="s">
        <v>54</v>
      </c>
      <c r="F752" t="s">
        <v>76</v>
      </c>
      <c r="G752" t="s">
        <v>60</v>
      </c>
      <c r="H752" t="s">
        <v>56</v>
      </c>
      <c r="I752" t="s">
        <v>41</v>
      </c>
      <c r="J752" s="2">
        <v>45199</v>
      </c>
      <c r="K752" s="2">
        <v>45204</v>
      </c>
      <c r="L752" s="2">
        <v>45214</v>
      </c>
      <c r="M752" s="2">
        <v>45218</v>
      </c>
      <c r="N752" s="2">
        <v>45237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74</v>
      </c>
      <c r="U752">
        <v>72</v>
      </c>
      <c r="W752">
        <v>1</v>
      </c>
    </row>
    <row r="753" spans="1:25">
      <c r="A753" s="1" t="s">
        <v>822</v>
      </c>
      <c r="B753" t="s">
        <v>70</v>
      </c>
      <c r="C753" t="s">
        <v>47</v>
      </c>
      <c r="D753" t="s">
        <v>73</v>
      </c>
      <c r="E753" t="s">
        <v>29</v>
      </c>
      <c r="F753" t="s">
        <v>76</v>
      </c>
      <c r="G753" t="s">
        <v>31</v>
      </c>
      <c r="H753" t="s">
        <v>32</v>
      </c>
      <c r="I753" t="s">
        <v>41</v>
      </c>
      <c r="J753" s="2">
        <v>45335</v>
      </c>
      <c r="K753" s="2">
        <v>45340</v>
      </c>
      <c r="L753" s="2">
        <v>45348</v>
      </c>
      <c r="M753" s="2">
        <v>45351</v>
      </c>
      <c r="N753" s="2">
        <v>45357</v>
      </c>
      <c r="O753">
        <v>1</v>
      </c>
      <c r="P753">
        <v>1</v>
      </c>
      <c r="Q753">
        <v>1</v>
      </c>
      <c r="R753">
        <v>0</v>
      </c>
      <c r="S753">
        <v>0</v>
      </c>
      <c r="T753" t="s">
        <v>49</v>
      </c>
      <c r="U753">
        <v>96</v>
      </c>
      <c r="W753">
        <v>15</v>
      </c>
      <c r="X753">
        <v>2767277</v>
      </c>
      <c r="Y753" t="s">
        <v>87</v>
      </c>
    </row>
    <row r="754" spans="1:25">
      <c r="A754" s="1" t="s">
        <v>823</v>
      </c>
      <c r="B754" t="s">
        <v>58</v>
      </c>
      <c r="C754" t="s">
        <v>78</v>
      </c>
      <c r="D754" t="s">
        <v>28</v>
      </c>
      <c r="E754" t="s">
        <v>63</v>
      </c>
      <c r="F754" t="s">
        <v>30</v>
      </c>
      <c r="G754" t="s">
        <v>45</v>
      </c>
      <c r="H754" t="s">
        <v>32</v>
      </c>
      <c r="I754" t="s">
        <v>41</v>
      </c>
      <c r="J754" s="2">
        <v>45450</v>
      </c>
      <c r="K754" s="2">
        <v>45454</v>
      </c>
      <c r="L754" s="2">
        <v>45462</v>
      </c>
      <c r="M754" s="2">
        <v>45464</v>
      </c>
      <c r="N754" s="2">
        <v>45462</v>
      </c>
      <c r="O754">
        <v>1</v>
      </c>
      <c r="P754">
        <v>1</v>
      </c>
      <c r="Q754">
        <v>1</v>
      </c>
      <c r="R754">
        <v>1</v>
      </c>
      <c r="S754">
        <v>0</v>
      </c>
      <c r="T754" t="s">
        <v>61</v>
      </c>
      <c r="U754">
        <v>95</v>
      </c>
      <c r="V754">
        <v>12</v>
      </c>
      <c r="W754">
        <v>9</v>
      </c>
      <c r="X754">
        <v>1944945</v>
      </c>
    </row>
    <row r="755" spans="1:25">
      <c r="A755" s="1" t="s">
        <v>824</v>
      </c>
      <c r="B755" t="s">
        <v>36</v>
      </c>
      <c r="C755" t="s">
        <v>37</v>
      </c>
      <c r="D755" t="s">
        <v>59</v>
      </c>
      <c r="E755" t="s">
        <v>102</v>
      </c>
      <c r="F755" t="s">
        <v>48</v>
      </c>
      <c r="G755" t="s">
        <v>60</v>
      </c>
      <c r="H755" t="s">
        <v>40</v>
      </c>
      <c r="I755" t="s">
        <v>33</v>
      </c>
      <c r="J755" s="2">
        <v>45088</v>
      </c>
      <c r="K755" s="2">
        <v>45093</v>
      </c>
      <c r="L755" s="2">
        <v>45100</v>
      </c>
      <c r="M755" s="2">
        <v>45107</v>
      </c>
      <c r="N755" s="2">
        <v>45114</v>
      </c>
      <c r="O755">
        <v>1</v>
      </c>
      <c r="P755">
        <v>0</v>
      </c>
      <c r="Q755">
        <v>0</v>
      </c>
      <c r="R755">
        <v>0</v>
      </c>
      <c r="S755">
        <v>0</v>
      </c>
      <c r="T755" t="s">
        <v>34</v>
      </c>
      <c r="U755">
        <v>56</v>
      </c>
      <c r="W755">
        <v>3</v>
      </c>
    </row>
    <row r="756" spans="1:25">
      <c r="A756" s="1" t="s">
        <v>825</v>
      </c>
      <c r="B756" t="s">
        <v>70</v>
      </c>
      <c r="C756" t="s">
        <v>37</v>
      </c>
      <c r="D756" t="s">
        <v>44</v>
      </c>
      <c r="E756" t="s">
        <v>63</v>
      </c>
      <c r="F756" t="s">
        <v>38</v>
      </c>
      <c r="G756" t="s">
        <v>39</v>
      </c>
      <c r="H756" t="s">
        <v>40</v>
      </c>
      <c r="I756" t="s">
        <v>41</v>
      </c>
      <c r="J756" s="2">
        <v>45274</v>
      </c>
      <c r="K756" s="2">
        <v>45279</v>
      </c>
      <c r="L756" s="2">
        <v>45289</v>
      </c>
      <c r="M756" s="2">
        <v>45291</v>
      </c>
      <c r="N756" s="2">
        <v>45295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74</v>
      </c>
      <c r="U756">
        <v>100</v>
      </c>
      <c r="W756">
        <v>3</v>
      </c>
    </row>
    <row r="757" spans="1:25">
      <c r="A757" s="1" t="s">
        <v>826</v>
      </c>
      <c r="B757" t="s">
        <v>26</v>
      </c>
      <c r="C757" t="s">
        <v>78</v>
      </c>
      <c r="D757" t="s">
        <v>52</v>
      </c>
      <c r="E757" t="s">
        <v>102</v>
      </c>
      <c r="F757" t="s">
        <v>76</v>
      </c>
      <c r="G757" t="s">
        <v>39</v>
      </c>
      <c r="H757" t="s">
        <v>32</v>
      </c>
      <c r="I757" t="s">
        <v>33</v>
      </c>
      <c r="J757" s="2">
        <v>45223</v>
      </c>
      <c r="K757" s="2">
        <v>45226</v>
      </c>
      <c r="L757" s="2">
        <v>45232</v>
      </c>
      <c r="M757" s="2">
        <v>45234</v>
      </c>
      <c r="N757" s="2">
        <v>45235</v>
      </c>
      <c r="O757">
        <v>1</v>
      </c>
      <c r="P757">
        <v>1</v>
      </c>
      <c r="Q757">
        <v>1</v>
      </c>
      <c r="R757">
        <v>0</v>
      </c>
      <c r="S757">
        <v>0</v>
      </c>
      <c r="T757" t="s">
        <v>49</v>
      </c>
      <c r="U757">
        <v>52</v>
      </c>
      <c r="W757">
        <v>10</v>
      </c>
      <c r="X757">
        <v>1734736</v>
      </c>
      <c r="Y757" t="s">
        <v>50</v>
      </c>
    </row>
    <row r="758" spans="1:25">
      <c r="A758" s="1" t="s">
        <v>827</v>
      </c>
      <c r="B758" t="s">
        <v>58</v>
      </c>
      <c r="C758" t="s">
        <v>27</v>
      </c>
      <c r="D758" t="s">
        <v>44</v>
      </c>
      <c r="E758" t="s">
        <v>66</v>
      </c>
      <c r="F758" t="s">
        <v>64</v>
      </c>
      <c r="G758" t="s">
        <v>55</v>
      </c>
      <c r="H758" t="s">
        <v>40</v>
      </c>
      <c r="I758" t="s">
        <v>33</v>
      </c>
      <c r="J758" s="2">
        <v>45048</v>
      </c>
      <c r="K758" s="2">
        <v>45049</v>
      </c>
      <c r="L758" s="2">
        <v>45058</v>
      </c>
      <c r="M758" s="2">
        <v>45065</v>
      </c>
      <c r="N758" s="2">
        <v>45063</v>
      </c>
      <c r="O758">
        <v>1</v>
      </c>
      <c r="P758">
        <v>1</v>
      </c>
      <c r="Q758">
        <v>1</v>
      </c>
      <c r="R758">
        <v>1</v>
      </c>
      <c r="S758">
        <v>0</v>
      </c>
      <c r="T758" t="s">
        <v>61</v>
      </c>
      <c r="U758">
        <v>73</v>
      </c>
      <c r="V758">
        <v>15</v>
      </c>
      <c r="W758">
        <v>2</v>
      </c>
      <c r="X758">
        <v>429969</v>
      </c>
    </row>
    <row r="759" spans="1:25">
      <c r="A759" s="1" t="s">
        <v>828</v>
      </c>
      <c r="B759" t="s">
        <v>70</v>
      </c>
      <c r="C759" t="s">
        <v>78</v>
      </c>
      <c r="D759" t="s">
        <v>73</v>
      </c>
      <c r="E759" t="s">
        <v>66</v>
      </c>
      <c r="F759" t="s">
        <v>67</v>
      </c>
      <c r="G759" t="s">
        <v>31</v>
      </c>
      <c r="H759" t="s">
        <v>40</v>
      </c>
      <c r="I759" t="s">
        <v>41</v>
      </c>
      <c r="J759" s="2">
        <v>45333</v>
      </c>
      <c r="K759" s="2">
        <v>45334</v>
      </c>
      <c r="L759" s="2">
        <v>45343</v>
      </c>
      <c r="M759" s="2">
        <v>45348</v>
      </c>
      <c r="N759" s="2">
        <v>45363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74</v>
      </c>
      <c r="U759">
        <v>53</v>
      </c>
      <c r="W759">
        <v>10</v>
      </c>
    </row>
    <row r="760" spans="1:25">
      <c r="A760" s="1" t="s">
        <v>829</v>
      </c>
      <c r="B760" t="s">
        <v>58</v>
      </c>
      <c r="C760" t="s">
        <v>78</v>
      </c>
      <c r="D760" t="s">
        <v>73</v>
      </c>
      <c r="E760" t="s">
        <v>102</v>
      </c>
      <c r="F760" t="s">
        <v>67</v>
      </c>
      <c r="G760" t="s">
        <v>55</v>
      </c>
      <c r="H760" t="s">
        <v>40</v>
      </c>
      <c r="I760" t="s">
        <v>33</v>
      </c>
      <c r="J760" s="2">
        <v>45271</v>
      </c>
      <c r="K760" s="2">
        <v>45276</v>
      </c>
      <c r="L760" s="2">
        <v>45281</v>
      </c>
      <c r="M760" s="2">
        <v>45285</v>
      </c>
      <c r="N760" s="2">
        <v>45292</v>
      </c>
      <c r="O760">
        <v>1</v>
      </c>
      <c r="P760">
        <v>1</v>
      </c>
      <c r="Q760">
        <v>1</v>
      </c>
      <c r="R760">
        <v>1</v>
      </c>
      <c r="S760">
        <v>0</v>
      </c>
      <c r="T760" t="s">
        <v>61</v>
      </c>
      <c r="U760">
        <v>89</v>
      </c>
      <c r="V760">
        <v>21</v>
      </c>
      <c r="W760">
        <v>7</v>
      </c>
      <c r="X760">
        <v>1941990</v>
      </c>
    </row>
    <row r="761" spans="1:25">
      <c r="A761" s="1" t="s">
        <v>830</v>
      </c>
      <c r="B761" t="s">
        <v>26</v>
      </c>
      <c r="C761" t="s">
        <v>78</v>
      </c>
      <c r="D761" t="s">
        <v>28</v>
      </c>
      <c r="E761" t="s">
        <v>102</v>
      </c>
      <c r="F761" t="s">
        <v>38</v>
      </c>
      <c r="G761" t="s">
        <v>31</v>
      </c>
      <c r="H761" t="s">
        <v>40</v>
      </c>
      <c r="I761" t="s">
        <v>41</v>
      </c>
      <c r="J761" s="2">
        <v>45135</v>
      </c>
      <c r="K761" s="2">
        <v>45137</v>
      </c>
      <c r="L761" s="2">
        <v>45141</v>
      </c>
      <c r="M761" s="2">
        <v>45145</v>
      </c>
      <c r="N761" s="2">
        <v>45152</v>
      </c>
      <c r="O761">
        <v>1</v>
      </c>
      <c r="P761">
        <v>1</v>
      </c>
      <c r="Q761">
        <v>1</v>
      </c>
      <c r="R761">
        <v>1</v>
      </c>
      <c r="S761">
        <v>0</v>
      </c>
      <c r="T761" t="s">
        <v>61</v>
      </c>
      <c r="U761">
        <v>100</v>
      </c>
      <c r="V761">
        <v>17</v>
      </c>
      <c r="W761">
        <v>9</v>
      </c>
      <c r="X761">
        <v>1475767</v>
      </c>
    </row>
    <row r="762" spans="1:25">
      <c r="A762" s="1" t="s">
        <v>831</v>
      </c>
      <c r="B762" t="s">
        <v>90</v>
      </c>
      <c r="C762" t="s">
        <v>71</v>
      </c>
      <c r="D762" t="s">
        <v>59</v>
      </c>
      <c r="E762" t="s">
        <v>54</v>
      </c>
      <c r="F762" t="s">
        <v>64</v>
      </c>
      <c r="G762" t="s">
        <v>60</v>
      </c>
      <c r="H762" t="s">
        <v>56</v>
      </c>
      <c r="I762" t="s">
        <v>41</v>
      </c>
      <c r="J762" s="2">
        <v>45168</v>
      </c>
      <c r="K762" s="2">
        <v>45170</v>
      </c>
      <c r="L762" s="2">
        <v>45173</v>
      </c>
      <c r="M762" s="2">
        <v>45176</v>
      </c>
      <c r="N762" s="2">
        <v>45190</v>
      </c>
      <c r="O762">
        <v>1</v>
      </c>
      <c r="P762">
        <v>0</v>
      </c>
      <c r="Q762">
        <v>0</v>
      </c>
      <c r="R762">
        <v>0</v>
      </c>
      <c r="S762">
        <v>0</v>
      </c>
      <c r="T762" t="s">
        <v>34</v>
      </c>
      <c r="U762">
        <v>45</v>
      </c>
      <c r="W762">
        <v>6</v>
      </c>
    </row>
    <row r="763" spans="1:25">
      <c r="A763" s="1" t="s">
        <v>832</v>
      </c>
      <c r="B763" t="s">
        <v>26</v>
      </c>
      <c r="C763" t="s">
        <v>71</v>
      </c>
      <c r="D763" t="s">
        <v>28</v>
      </c>
      <c r="E763" t="s">
        <v>54</v>
      </c>
      <c r="F763" t="s">
        <v>30</v>
      </c>
      <c r="G763" t="s">
        <v>31</v>
      </c>
      <c r="H763" t="s">
        <v>32</v>
      </c>
      <c r="I763" t="s">
        <v>41</v>
      </c>
      <c r="J763" s="2">
        <v>45348</v>
      </c>
      <c r="K763" s="2">
        <v>45352</v>
      </c>
      <c r="L763" s="2">
        <v>45358</v>
      </c>
      <c r="M763" s="2">
        <v>45364</v>
      </c>
      <c r="N763" s="2">
        <v>45369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74</v>
      </c>
      <c r="U763">
        <v>65</v>
      </c>
      <c r="W763">
        <v>3</v>
      </c>
    </row>
    <row r="764" spans="1:25">
      <c r="A764" s="1" t="s">
        <v>833</v>
      </c>
      <c r="B764" t="s">
        <v>70</v>
      </c>
      <c r="C764" t="s">
        <v>37</v>
      </c>
      <c r="D764" t="s">
        <v>44</v>
      </c>
      <c r="E764" t="s">
        <v>29</v>
      </c>
      <c r="F764" t="s">
        <v>64</v>
      </c>
      <c r="G764" t="s">
        <v>31</v>
      </c>
      <c r="H764" t="s">
        <v>56</v>
      </c>
      <c r="I764" t="s">
        <v>41</v>
      </c>
      <c r="J764" s="2">
        <v>44928</v>
      </c>
      <c r="K764" s="2">
        <v>44932</v>
      </c>
      <c r="L764" s="2">
        <v>44942</v>
      </c>
      <c r="M764" s="2">
        <v>44948</v>
      </c>
      <c r="N764" s="2">
        <v>44950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74</v>
      </c>
      <c r="U764">
        <v>74</v>
      </c>
      <c r="W764">
        <v>1</v>
      </c>
    </row>
    <row r="765" spans="1:25">
      <c r="A765" s="1" t="s">
        <v>834</v>
      </c>
      <c r="B765" t="s">
        <v>36</v>
      </c>
      <c r="C765" t="s">
        <v>78</v>
      </c>
      <c r="D765" t="s">
        <v>28</v>
      </c>
      <c r="E765" t="s">
        <v>66</v>
      </c>
      <c r="F765" t="s">
        <v>38</v>
      </c>
      <c r="G765" t="s">
        <v>39</v>
      </c>
      <c r="H765" t="s">
        <v>40</v>
      </c>
      <c r="I765" t="s">
        <v>33</v>
      </c>
      <c r="J765" s="2">
        <v>45413</v>
      </c>
      <c r="K765" s="2">
        <v>45418</v>
      </c>
      <c r="L765" s="2">
        <v>45421</v>
      </c>
      <c r="M765" s="2">
        <v>45423</v>
      </c>
      <c r="N765" s="2">
        <v>45441</v>
      </c>
      <c r="O765">
        <v>1</v>
      </c>
      <c r="P765">
        <v>0</v>
      </c>
      <c r="Q765">
        <v>0</v>
      </c>
      <c r="R765">
        <v>0</v>
      </c>
      <c r="S765">
        <v>0</v>
      </c>
      <c r="T765" t="s">
        <v>34</v>
      </c>
      <c r="U765">
        <v>58</v>
      </c>
      <c r="W765">
        <v>10</v>
      </c>
    </row>
    <row r="766" spans="1:25">
      <c r="A766" s="1" t="s">
        <v>835</v>
      </c>
      <c r="B766" t="s">
        <v>26</v>
      </c>
      <c r="C766" t="s">
        <v>37</v>
      </c>
      <c r="D766" t="s">
        <v>44</v>
      </c>
      <c r="E766" t="s">
        <v>54</v>
      </c>
      <c r="F766" t="s">
        <v>48</v>
      </c>
      <c r="G766" t="s">
        <v>45</v>
      </c>
      <c r="H766" t="s">
        <v>40</v>
      </c>
      <c r="I766" t="s">
        <v>41</v>
      </c>
      <c r="J766" s="2">
        <v>45407</v>
      </c>
      <c r="K766" s="2">
        <v>45412</v>
      </c>
      <c r="L766" s="2">
        <v>45422</v>
      </c>
      <c r="M766" s="2">
        <v>45426</v>
      </c>
      <c r="N766" s="2">
        <v>45428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74</v>
      </c>
      <c r="U766">
        <v>80</v>
      </c>
      <c r="W766">
        <v>4</v>
      </c>
    </row>
    <row r="767" spans="1:25">
      <c r="A767" s="1" t="s">
        <v>836</v>
      </c>
      <c r="B767" t="s">
        <v>90</v>
      </c>
      <c r="C767" t="s">
        <v>47</v>
      </c>
      <c r="D767" t="s">
        <v>59</v>
      </c>
      <c r="E767" t="s">
        <v>54</v>
      </c>
      <c r="F767" t="s">
        <v>48</v>
      </c>
      <c r="G767" t="s">
        <v>39</v>
      </c>
      <c r="H767" t="s">
        <v>40</v>
      </c>
      <c r="I767" t="s">
        <v>33</v>
      </c>
      <c r="J767" s="2">
        <v>45193</v>
      </c>
      <c r="K767" s="2">
        <v>45198</v>
      </c>
      <c r="L767" s="2">
        <v>45204</v>
      </c>
      <c r="M767" s="2">
        <v>45210</v>
      </c>
      <c r="N767" s="2">
        <v>45211</v>
      </c>
      <c r="O767">
        <v>1</v>
      </c>
      <c r="P767">
        <v>0</v>
      </c>
      <c r="Q767">
        <v>0</v>
      </c>
      <c r="R767">
        <v>0</v>
      </c>
      <c r="S767">
        <v>0</v>
      </c>
      <c r="T767" t="s">
        <v>34</v>
      </c>
      <c r="U767">
        <v>63</v>
      </c>
      <c r="W767">
        <v>13</v>
      </c>
    </row>
    <row r="768" spans="1:25">
      <c r="A768" s="1" t="s">
        <v>837</v>
      </c>
      <c r="B768" t="s">
        <v>43</v>
      </c>
      <c r="C768" t="s">
        <v>78</v>
      </c>
      <c r="D768" t="s">
        <v>44</v>
      </c>
      <c r="E768" t="s">
        <v>54</v>
      </c>
      <c r="F768" t="s">
        <v>67</v>
      </c>
      <c r="G768" t="s">
        <v>31</v>
      </c>
      <c r="H768" t="s">
        <v>56</v>
      </c>
      <c r="I768" t="s">
        <v>41</v>
      </c>
      <c r="J768" s="2">
        <v>45268</v>
      </c>
      <c r="K768" s="2">
        <v>45270</v>
      </c>
      <c r="L768" s="2">
        <v>45280</v>
      </c>
      <c r="M768" s="2">
        <v>45282</v>
      </c>
      <c r="N768" s="2">
        <v>45294</v>
      </c>
      <c r="O768">
        <v>1</v>
      </c>
      <c r="P768">
        <v>0</v>
      </c>
      <c r="Q768">
        <v>0</v>
      </c>
      <c r="R768">
        <v>0</v>
      </c>
      <c r="S768">
        <v>0</v>
      </c>
      <c r="T768" t="s">
        <v>34</v>
      </c>
      <c r="U768">
        <v>49</v>
      </c>
      <c r="W768">
        <v>8</v>
      </c>
    </row>
    <row r="769" spans="1:25">
      <c r="A769" s="1" t="s">
        <v>838</v>
      </c>
      <c r="B769" t="s">
        <v>90</v>
      </c>
      <c r="C769" t="s">
        <v>27</v>
      </c>
      <c r="D769" t="s">
        <v>59</v>
      </c>
      <c r="E769" t="s">
        <v>29</v>
      </c>
      <c r="F769" t="s">
        <v>30</v>
      </c>
      <c r="G769" t="s">
        <v>31</v>
      </c>
      <c r="H769" t="s">
        <v>56</v>
      </c>
      <c r="I769" t="s">
        <v>33</v>
      </c>
      <c r="J769" s="2">
        <v>45010</v>
      </c>
      <c r="K769" s="2">
        <v>45012</v>
      </c>
      <c r="L769" s="2">
        <v>45016</v>
      </c>
      <c r="M769" s="2">
        <v>45018</v>
      </c>
      <c r="N769" s="2">
        <v>45037</v>
      </c>
      <c r="O769">
        <v>1</v>
      </c>
      <c r="P769">
        <v>1</v>
      </c>
      <c r="Q769">
        <v>1</v>
      </c>
      <c r="R769">
        <v>0</v>
      </c>
      <c r="S769">
        <v>1</v>
      </c>
      <c r="T769" t="s">
        <v>49</v>
      </c>
      <c r="U769">
        <v>98</v>
      </c>
      <c r="W769">
        <v>0</v>
      </c>
      <c r="X769">
        <v>699542</v>
      </c>
      <c r="Y769" t="s">
        <v>127</v>
      </c>
    </row>
    <row r="770" spans="1:25">
      <c r="A770" s="1" t="s">
        <v>839</v>
      </c>
      <c r="B770" t="s">
        <v>70</v>
      </c>
      <c r="C770" t="s">
        <v>27</v>
      </c>
      <c r="D770" t="s">
        <v>44</v>
      </c>
      <c r="E770" t="s">
        <v>63</v>
      </c>
      <c r="F770" t="s">
        <v>38</v>
      </c>
      <c r="G770" t="s">
        <v>60</v>
      </c>
      <c r="H770" t="s">
        <v>32</v>
      </c>
      <c r="I770" t="s">
        <v>41</v>
      </c>
      <c r="J770" s="2">
        <v>45472</v>
      </c>
      <c r="K770" s="2">
        <v>45475</v>
      </c>
      <c r="L770" s="2">
        <v>45480</v>
      </c>
      <c r="M770" s="2">
        <v>45485</v>
      </c>
      <c r="N770" s="2">
        <v>45492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74</v>
      </c>
      <c r="U770">
        <v>71</v>
      </c>
      <c r="W770">
        <v>1</v>
      </c>
    </row>
    <row r="771" spans="1:25">
      <c r="A771" s="1" t="s">
        <v>840</v>
      </c>
      <c r="B771" t="s">
        <v>26</v>
      </c>
      <c r="C771" t="s">
        <v>27</v>
      </c>
      <c r="D771" t="s">
        <v>28</v>
      </c>
      <c r="E771" t="s">
        <v>54</v>
      </c>
      <c r="F771" t="s">
        <v>48</v>
      </c>
      <c r="G771" t="s">
        <v>55</v>
      </c>
      <c r="H771" t="s">
        <v>32</v>
      </c>
      <c r="I771" t="s">
        <v>41</v>
      </c>
      <c r="J771" s="2">
        <v>45330</v>
      </c>
      <c r="K771" s="2">
        <v>45334</v>
      </c>
      <c r="L771" s="2">
        <v>45340</v>
      </c>
      <c r="M771" s="2">
        <v>45347</v>
      </c>
      <c r="N771" s="2">
        <v>45350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74</v>
      </c>
      <c r="U771">
        <v>79</v>
      </c>
      <c r="W771">
        <v>0</v>
      </c>
    </row>
    <row r="772" spans="1:25">
      <c r="A772" s="1" t="s">
        <v>841</v>
      </c>
      <c r="B772" t="s">
        <v>70</v>
      </c>
      <c r="C772" t="s">
        <v>47</v>
      </c>
      <c r="D772" t="s">
        <v>28</v>
      </c>
      <c r="E772" t="s">
        <v>63</v>
      </c>
      <c r="F772" t="s">
        <v>48</v>
      </c>
      <c r="G772" t="s">
        <v>39</v>
      </c>
      <c r="H772" t="s">
        <v>40</v>
      </c>
      <c r="I772" t="s">
        <v>33</v>
      </c>
      <c r="J772" s="2">
        <v>45114</v>
      </c>
      <c r="K772" s="2">
        <v>45117</v>
      </c>
      <c r="L772" s="2">
        <v>45122</v>
      </c>
      <c r="M772" s="2">
        <v>45126</v>
      </c>
      <c r="N772" s="2">
        <v>45141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74</v>
      </c>
      <c r="U772">
        <v>93</v>
      </c>
      <c r="W772">
        <v>12</v>
      </c>
    </row>
    <row r="773" spans="1:25">
      <c r="A773" s="1" t="s">
        <v>842</v>
      </c>
      <c r="B773" t="s">
        <v>90</v>
      </c>
      <c r="C773" t="s">
        <v>37</v>
      </c>
      <c r="D773" t="s">
        <v>44</v>
      </c>
      <c r="E773" t="s">
        <v>29</v>
      </c>
      <c r="F773" t="s">
        <v>67</v>
      </c>
      <c r="G773" t="s">
        <v>31</v>
      </c>
      <c r="H773" t="s">
        <v>32</v>
      </c>
      <c r="I773" t="s">
        <v>33</v>
      </c>
      <c r="J773" s="2">
        <v>45080</v>
      </c>
      <c r="K773" s="2">
        <v>45083</v>
      </c>
      <c r="L773" s="2">
        <v>45089</v>
      </c>
      <c r="M773" s="2">
        <v>45091</v>
      </c>
      <c r="N773" s="2">
        <v>45100</v>
      </c>
      <c r="O773">
        <v>1</v>
      </c>
      <c r="P773">
        <v>1</v>
      </c>
      <c r="Q773">
        <v>0</v>
      </c>
      <c r="R773">
        <v>0</v>
      </c>
      <c r="S773">
        <v>0</v>
      </c>
      <c r="T773" t="s">
        <v>34</v>
      </c>
      <c r="U773">
        <v>48</v>
      </c>
      <c r="W773">
        <v>2</v>
      </c>
    </row>
    <row r="774" spans="1:25">
      <c r="A774" s="1" t="s">
        <v>843</v>
      </c>
      <c r="B774" t="s">
        <v>43</v>
      </c>
      <c r="C774" t="s">
        <v>71</v>
      </c>
      <c r="D774" t="s">
        <v>28</v>
      </c>
      <c r="E774" t="s">
        <v>63</v>
      </c>
      <c r="F774" t="s">
        <v>38</v>
      </c>
      <c r="G774" t="s">
        <v>31</v>
      </c>
      <c r="H774" t="s">
        <v>32</v>
      </c>
      <c r="I774" t="s">
        <v>41</v>
      </c>
      <c r="J774" s="2">
        <v>44959</v>
      </c>
      <c r="K774" s="2">
        <v>44961</v>
      </c>
      <c r="L774" s="2">
        <v>44968</v>
      </c>
      <c r="M774" s="2">
        <v>44974</v>
      </c>
      <c r="N774" s="2">
        <v>44986</v>
      </c>
      <c r="O774">
        <v>1</v>
      </c>
      <c r="P774">
        <v>0</v>
      </c>
      <c r="Q774">
        <v>0</v>
      </c>
      <c r="R774">
        <v>0</v>
      </c>
      <c r="S774">
        <v>0</v>
      </c>
      <c r="T774" t="s">
        <v>34</v>
      </c>
      <c r="U774">
        <v>51</v>
      </c>
      <c r="W774">
        <v>6</v>
      </c>
    </row>
    <row r="775" spans="1:25">
      <c r="A775" s="1" t="s">
        <v>844</v>
      </c>
      <c r="B775" t="s">
        <v>70</v>
      </c>
      <c r="C775" t="s">
        <v>47</v>
      </c>
      <c r="D775" t="s">
        <v>59</v>
      </c>
      <c r="E775" t="s">
        <v>54</v>
      </c>
      <c r="F775" t="s">
        <v>38</v>
      </c>
      <c r="G775" t="s">
        <v>55</v>
      </c>
      <c r="H775" t="s">
        <v>56</v>
      </c>
      <c r="I775" t="s">
        <v>33</v>
      </c>
      <c r="J775" s="2">
        <v>45038</v>
      </c>
      <c r="K775" s="2">
        <v>45039</v>
      </c>
      <c r="L775" s="2">
        <v>45047</v>
      </c>
      <c r="M775" s="2">
        <v>45053</v>
      </c>
      <c r="N775" s="2">
        <v>45072</v>
      </c>
      <c r="O775">
        <v>1</v>
      </c>
      <c r="P775">
        <v>0</v>
      </c>
      <c r="Q775">
        <v>0</v>
      </c>
      <c r="R775">
        <v>0</v>
      </c>
      <c r="S775">
        <v>0</v>
      </c>
      <c r="T775" t="s">
        <v>34</v>
      </c>
      <c r="U775">
        <v>81</v>
      </c>
      <c r="W775">
        <v>15</v>
      </c>
    </row>
    <row r="776" spans="1:25">
      <c r="A776" s="1" t="s">
        <v>845</v>
      </c>
      <c r="B776" t="s">
        <v>36</v>
      </c>
      <c r="C776" t="s">
        <v>27</v>
      </c>
      <c r="D776" t="s">
        <v>28</v>
      </c>
      <c r="E776" t="s">
        <v>54</v>
      </c>
      <c r="F776" t="s">
        <v>30</v>
      </c>
      <c r="G776" t="s">
        <v>39</v>
      </c>
      <c r="H776" t="s">
        <v>32</v>
      </c>
      <c r="I776" t="s">
        <v>33</v>
      </c>
      <c r="J776" s="2">
        <v>45344</v>
      </c>
      <c r="K776" s="2">
        <v>45349</v>
      </c>
      <c r="L776" s="2">
        <v>45354</v>
      </c>
      <c r="M776" s="2">
        <v>45359</v>
      </c>
      <c r="N776" s="2">
        <v>45361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74</v>
      </c>
      <c r="U776">
        <v>65</v>
      </c>
      <c r="W776">
        <v>2</v>
      </c>
    </row>
    <row r="777" spans="1:25">
      <c r="A777" s="1" t="s">
        <v>846</v>
      </c>
      <c r="B777" t="s">
        <v>43</v>
      </c>
      <c r="C777" t="s">
        <v>47</v>
      </c>
      <c r="D777" t="s">
        <v>44</v>
      </c>
      <c r="E777" t="s">
        <v>63</v>
      </c>
      <c r="F777" t="s">
        <v>76</v>
      </c>
      <c r="G777" t="s">
        <v>55</v>
      </c>
      <c r="H777" t="s">
        <v>32</v>
      </c>
      <c r="I777" t="s">
        <v>33</v>
      </c>
      <c r="J777" s="2">
        <v>45130</v>
      </c>
      <c r="K777" s="2">
        <v>45133</v>
      </c>
      <c r="L777" s="2">
        <v>45143</v>
      </c>
      <c r="M777" s="2">
        <v>45146</v>
      </c>
      <c r="N777" s="2">
        <v>45150</v>
      </c>
      <c r="O777">
        <v>1</v>
      </c>
      <c r="P777">
        <v>0</v>
      </c>
      <c r="Q777">
        <v>0</v>
      </c>
      <c r="R777">
        <v>0</v>
      </c>
      <c r="S777">
        <v>0</v>
      </c>
      <c r="T777" t="s">
        <v>34</v>
      </c>
      <c r="U777">
        <v>49</v>
      </c>
      <c r="W777">
        <v>11</v>
      </c>
    </row>
    <row r="778" spans="1:25">
      <c r="A778" s="1" t="s">
        <v>847</v>
      </c>
      <c r="B778" t="s">
        <v>26</v>
      </c>
      <c r="C778" t="s">
        <v>37</v>
      </c>
      <c r="D778" t="s">
        <v>59</v>
      </c>
      <c r="E778" t="s">
        <v>54</v>
      </c>
      <c r="F778" t="s">
        <v>48</v>
      </c>
      <c r="G778" t="s">
        <v>31</v>
      </c>
      <c r="H778" t="s">
        <v>40</v>
      </c>
      <c r="I778" t="s">
        <v>41</v>
      </c>
      <c r="J778" s="2">
        <v>45024</v>
      </c>
      <c r="K778" s="2">
        <v>45027</v>
      </c>
      <c r="L778" s="2">
        <v>45031</v>
      </c>
      <c r="M778" s="2">
        <v>45033</v>
      </c>
      <c r="N778" s="2">
        <v>45047</v>
      </c>
      <c r="O778">
        <v>1</v>
      </c>
      <c r="P778">
        <v>1</v>
      </c>
      <c r="Q778">
        <v>0</v>
      </c>
      <c r="R778">
        <v>0</v>
      </c>
      <c r="S778">
        <v>0</v>
      </c>
      <c r="T778" t="s">
        <v>34</v>
      </c>
      <c r="U778">
        <v>85</v>
      </c>
      <c r="W778">
        <v>1</v>
      </c>
    </row>
    <row r="779" spans="1:25">
      <c r="A779" s="1" t="s">
        <v>848</v>
      </c>
      <c r="B779" t="s">
        <v>70</v>
      </c>
      <c r="C779" t="s">
        <v>71</v>
      </c>
      <c r="D779" t="s">
        <v>28</v>
      </c>
      <c r="E779" t="s">
        <v>66</v>
      </c>
      <c r="F779" t="s">
        <v>64</v>
      </c>
      <c r="G779" t="s">
        <v>39</v>
      </c>
      <c r="H779" t="s">
        <v>40</v>
      </c>
      <c r="I779" t="s">
        <v>41</v>
      </c>
      <c r="J779" s="2">
        <v>45006</v>
      </c>
      <c r="K779" s="2">
        <v>45010</v>
      </c>
      <c r="L779" s="2">
        <v>45014</v>
      </c>
      <c r="M779" s="2">
        <v>45019</v>
      </c>
      <c r="N779" s="2">
        <v>45038</v>
      </c>
      <c r="O779">
        <v>1</v>
      </c>
      <c r="P779">
        <v>1</v>
      </c>
      <c r="Q779">
        <v>1</v>
      </c>
      <c r="R779">
        <v>0</v>
      </c>
      <c r="S779">
        <v>0</v>
      </c>
      <c r="T779" t="s">
        <v>49</v>
      </c>
      <c r="U779">
        <v>55</v>
      </c>
      <c r="W779">
        <v>6</v>
      </c>
      <c r="X779">
        <v>880792</v>
      </c>
      <c r="Y779" t="s">
        <v>80</v>
      </c>
    </row>
    <row r="780" spans="1:25">
      <c r="A780" s="1" t="s">
        <v>849</v>
      </c>
      <c r="B780" t="s">
        <v>43</v>
      </c>
      <c r="C780" t="s">
        <v>78</v>
      </c>
      <c r="D780" t="s">
        <v>44</v>
      </c>
      <c r="E780" t="s">
        <v>29</v>
      </c>
      <c r="F780" t="s">
        <v>48</v>
      </c>
      <c r="G780" t="s">
        <v>60</v>
      </c>
      <c r="H780" t="s">
        <v>40</v>
      </c>
      <c r="I780" t="s">
        <v>41</v>
      </c>
      <c r="J780" s="2">
        <v>45201</v>
      </c>
      <c r="K780" s="2">
        <v>45204</v>
      </c>
      <c r="L780" s="2">
        <v>45207</v>
      </c>
      <c r="M780" s="2">
        <v>45210</v>
      </c>
      <c r="N780" s="2">
        <v>45228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74</v>
      </c>
      <c r="U780">
        <v>65</v>
      </c>
      <c r="W780">
        <v>10</v>
      </c>
    </row>
    <row r="781" spans="1:25">
      <c r="A781" s="1" t="s">
        <v>850</v>
      </c>
      <c r="B781" t="s">
        <v>90</v>
      </c>
      <c r="C781" t="s">
        <v>71</v>
      </c>
      <c r="D781" t="s">
        <v>44</v>
      </c>
      <c r="E781" t="s">
        <v>66</v>
      </c>
      <c r="F781" t="s">
        <v>76</v>
      </c>
      <c r="G781" t="s">
        <v>39</v>
      </c>
      <c r="H781" t="s">
        <v>56</v>
      </c>
      <c r="I781" t="s">
        <v>41</v>
      </c>
      <c r="J781" s="2">
        <v>45026</v>
      </c>
      <c r="K781" s="2">
        <v>45031</v>
      </c>
      <c r="L781" s="2">
        <v>45038</v>
      </c>
      <c r="M781" s="2">
        <v>45040</v>
      </c>
      <c r="N781" s="2">
        <v>45061</v>
      </c>
      <c r="O781">
        <v>1</v>
      </c>
      <c r="P781">
        <v>1</v>
      </c>
      <c r="Q781">
        <v>1</v>
      </c>
      <c r="R781">
        <v>1</v>
      </c>
      <c r="S781">
        <v>0</v>
      </c>
      <c r="T781" t="s">
        <v>61</v>
      </c>
      <c r="U781">
        <v>76</v>
      </c>
      <c r="V781">
        <v>35</v>
      </c>
      <c r="W781">
        <v>6</v>
      </c>
      <c r="X781">
        <v>1274653</v>
      </c>
    </row>
    <row r="782" spans="1:25">
      <c r="A782" s="1" t="s">
        <v>851</v>
      </c>
      <c r="B782" t="s">
        <v>70</v>
      </c>
      <c r="C782" t="s">
        <v>37</v>
      </c>
      <c r="D782" t="s">
        <v>52</v>
      </c>
      <c r="E782" t="s">
        <v>102</v>
      </c>
      <c r="F782" t="s">
        <v>67</v>
      </c>
      <c r="G782" t="s">
        <v>60</v>
      </c>
      <c r="H782" t="s">
        <v>40</v>
      </c>
      <c r="I782" t="s">
        <v>33</v>
      </c>
      <c r="J782" s="2">
        <v>45294</v>
      </c>
      <c r="K782" s="2">
        <v>45299</v>
      </c>
      <c r="L782" s="2">
        <v>45309</v>
      </c>
      <c r="M782" s="2">
        <v>45316</v>
      </c>
      <c r="N782" s="2">
        <v>45324</v>
      </c>
      <c r="O782">
        <v>1</v>
      </c>
      <c r="P782">
        <v>1</v>
      </c>
      <c r="Q782">
        <v>1</v>
      </c>
      <c r="R782">
        <v>0</v>
      </c>
      <c r="S782">
        <v>0</v>
      </c>
      <c r="T782" t="s">
        <v>49</v>
      </c>
      <c r="U782">
        <v>84</v>
      </c>
      <c r="W782">
        <v>3</v>
      </c>
      <c r="X782">
        <v>512218</v>
      </c>
      <c r="Y782" t="s">
        <v>80</v>
      </c>
    </row>
    <row r="783" spans="1:25">
      <c r="A783" s="1" t="s">
        <v>852</v>
      </c>
      <c r="B783" t="s">
        <v>70</v>
      </c>
      <c r="C783" t="s">
        <v>78</v>
      </c>
      <c r="D783" t="s">
        <v>59</v>
      </c>
      <c r="E783" t="s">
        <v>29</v>
      </c>
      <c r="F783" t="s">
        <v>67</v>
      </c>
      <c r="G783" t="s">
        <v>60</v>
      </c>
      <c r="H783" t="s">
        <v>32</v>
      </c>
      <c r="I783" t="s">
        <v>33</v>
      </c>
      <c r="J783" s="2">
        <v>45441</v>
      </c>
      <c r="K783" s="2">
        <v>45444</v>
      </c>
      <c r="L783" s="2">
        <v>45454</v>
      </c>
      <c r="M783" s="2">
        <v>45458</v>
      </c>
      <c r="N783" s="2">
        <v>45481</v>
      </c>
      <c r="O783">
        <v>1</v>
      </c>
      <c r="P783">
        <v>0</v>
      </c>
      <c r="Q783">
        <v>0</v>
      </c>
      <c r="R783">
        <v>0</v>
      </c>
      <c r="S783">
        <v>0</v>
      </c>
      <c r="T783" t="s">
        <v>34</v>
      </c>
      <c r="U783">
        <v>62</v>
      </c>
      <c r="W783">
        <v>7</v>
      </c>
    </row>
    <row r="784" spans="1:25">
      <c r="A784" s="1" t="s">
        <v>853</v>
      </c>
      <c r="B784" t="s">
        <v>70</v>
      </c>
      <c r="C784" t="s">
        <v>47</v>
      </c>
      <c r="D784" t="s">
        <v>59</v>
      </c>
      <c r="E784" t="s">
        <v>66</v>
      </c>
      <c r="F784" t="s">
        <v>38</v>
      </c>
      <c r="G784" t="s">
        <v>31</v>
      </c>
      <c r="H784" t="s">
        <v>40</v>
      </c>
      <c r="I784" t="s">
        <v>33</v>
      </c>
      <c r="J784" s="2">
        <v>45413</v>
      </c>
      <c r="K784" s="2">
        <v>45418</v>
      </c>
      <c r="L784" s="2">
        <v>45428</v>
      </c>
      <c r="M784" s="2">
        <v>45432</v>
      </c>
      <c r="N784" s="2">
        <v>45444</v>
      </c>
      <c r="O784">
        <v>1</v>
      </c>
      <c r="P784">
        <v>1</v>
      </c>
      <c r="Q784">
        <v>1</v>
      </c>
      <c r="R784">
        <v>0</v>
      </c>
      <c r="S784">
        <v>0</v>
      </c>
      <c r="T784" t="s">
        <v>49</v>
      </c>
      <c r="U784">
        <v>80</v>
      </c>
      <c r="W784">
        <v>12</v>
      </c>
      <c r="X784">
        <v>2559760</v>
      </c>
      <c r="Y784" t="s">
        <v>80</v>
      </c>
    </row>
    <row r="785" spans="1:25">
      <c r="A785" s="1" t="s">
        <v>854</v>
      </c>
      <c r="B785" t="s">
        <v>70</v>
      </c>
      <c r="C785" t="s">
        <v>47</v>
      </c>
      <c r="D785" t="s">
        <v>59</v>
      </c>
      <c r="E785" t="s">
        <v>63</v>
      </c>
      <c r="F785" t="s">
        <v>30</v>
      </c>
      <c r="G785" t="s">
        <v>39</v>
      </c>
      <c r="H785" t="s">
        <v>40</v>
      </c>
      <c r="I785" t="s">
        <v>41</v>
      </c>
      <c r="J785" s="2">
        <v>45326</v>
      </c>
      <c r="K785" s="2">
        <v>45328</v>
      </c>
      <c r="L785" s="2">
        <v>45337</v>
      </c>
      <c r="M785" s="2">
        <v>45344</v>
      </c>
      <c r="N785" s="2">
        <v>45365</v>
      </c>
      <c r="O785">
        <v>1</v>
      </c>
      <c r="P785">
        <v>1</v>
      </c>
      <c r="Q785">
        <v>1</v>
      </c>
      <c r="R785">
        <v>1</v>
      </c>
      <c r="S785">
        <v>0</v>
      </c>
      <c r="T785" t="s">
        <v>61</v>
      </c>
      <c r="U785">
        <v>100</v>
      </c>
      <c r="V785">
        <v>39</v>
      </c>
      <c r="W785">
        <v>11</v>
      </c>
      <c r="X785">
        <v>2222778</v>
      </c>
    </row>
    <row r="786" spans="1:25">
      <c r="A786" s="1" t="s">
        <v>855</v>
      </c>
      <c r="B786" t="s">
        <v>26</v>
      </c>
      <c r="C786" t="s">
        <v>47</v>
      </c>
      <c r="D786" t="s">
        <v>52</v>
      </c>
      <c r="E786" t="s">
        <v>29</v>
      </c>
      <c r="F786" t="s">
        <v>64</v>
      </c>
      <c r="G786" t="s">
        <v>31</v>
      </c>
      <c r="H786" t="s">
        <v>40</v>
      </c>
      <c r="I786" t="s">
        <v>41</v>
      </c>
      <c r="J786" s="2">
        <v>45333</v>
      </c>
      <c r="K786" s="2">
        <v>45334</v>
      </c>
      <c r="L786" s="2">
        <v>45337</v>
      </c>
      <c r="M786" s="2">
        <v>45343</v>
      </c>
      <c r="N786" s="2">
        <v>45355</v>
      </c>
      <c r="O786">
        <v>1</v>
      </c>
      <c r="P786">
        <v>1</v>
      </c>
      <c r="Q786">
        <v>1</v>
      </c>
      <c r="R786">
        <v>0</v>
      </c>
      <c r="S786">
        <v>0</v>
      </c>
      <c r="T786" t="s">
        <v>49</v>
      </c>
      <c r="U786">
        <v>67</v>
      </c>
      <c r="W786">
        <v>13</v>
      </c>
      <c r="X786">
        <v>1886456</v>
      </c>
      <c r="Y786" t="s">
        <v>50</v>
      </c>
    </row>
    <row r="787" spans="1:25">
      <c r="A787" s="1" t="s">
        <v>856</v>
      </c>
      <c r="B787" t="s">
        <v>70</v>
      </c>
      <c r="C787" t="s">
        <v>71</v>
      </c>
      <c r="D787" t="s">
        <v>73</v>
      </c>
      <c r="E787" t="s">
        <v>102</v>
      </c>
      <c r="F787" t="s">
        <v>38</v>
      </c>
      <c r="G787" t="s">
        <v>55</v>
      </c>
      <c r="H787" t="s">
        <v>56</v>
      </c>
      <c r="I787" t="s">
        <v>33</v>
      </c>
      <c r="J787" s="2">
        <v>45099</v>
      </c>
      <c r="K787" s="2">
        <v>45100</v>
      </c>
      <c r="L787" s="2">
        <v>45107</v>
      </c>
      <c r="M787" s="2">
        <v>45112</v>
      </c>
      <c r="N787" s="2">
        <v>45124</v>
      </c>
      <c r="O787">
        <v>1</v>
      </c>
      <c r="P787">
        <v>1</v>
      </c>
      <c r="Q787">
        <v>1</v>
      </c>
      <c r="R787">
        <v>0</v>
      </c>
      <c r="S787">
        <v>0</v>
      </c>
      <c r="T787" t="s">
        <v>49</v>
      </c>
      <c r="U787">
        <v>54</v>
      </c>
      <c r="W787">
        <v>6</v>
      </c>
      <c r="X787">
        <v>1308030</v>
      </c>
      <c r="Y787" t="s">
        <v>127</v>
      </c>
    </row>
    <row r="788" spans="1:25">
      <c r="A788" s="1" t="s">
        <v>857</v>
      </c>
      <c r="B788" t="s">
        <v>58</v>
      </c>
      <c r="C788" t="s">
        <v>37</v>
      </c>
      <c r="D788" t="s">
        <v>28</v>
      </c>
      <c r="E788" t="s">
        <v>54</v>
      </c>
      <c r="F788" t="s">
        <v>48</v>
      </c>
      <c r="G788" t="s">
        <v>31</v>
      </c>
      <c r="H788" t="s">
        <v>56</v>
      </c>
      <c r="I788" t="s">
        <v>41</v>
      </c>
      <c r="J788" s="2">
        <v>44994</v>
      </c>
      <c r="K788" s="2">
        <v>44995</v>
      </c>
      <c r="L788" s="2">
        <v>45004</v>
      </c>
      <c r="M788" s="2">
        <v>45007</v>
      </c>
      <c r="N788" s="2">
        <v>45011</v>
      </c>
      <c r="O788">
        <v>1</v>
      </c>
      <c r="P788">
        <v>1</v>
      </c>
      <c r="Q788">
        <v>1</v>
      </c>
      <c r="R788">
        <v>1</v>
      </c>
      <c r="S788">
        <v>0</v>
      </c>
      <c r="T788" t="s">
        <v>61</v>
      </c>
      <c r="U788">
        <v>97</v>
      </c>
      <c r="V788">
        <v>17</v>
      </c>
      <c r="W788">
        <v>3</v>
      </c>
      <c r="X788">
        <v>569320</v>
      </c>
    </row>
    <row r="789" spans="1:25">
      <c r="A789" s="1" t="s">
        <v>858</v>
      </c>
      <c r="B789" t="s">
        <v>26</v>
      </c>
      <c r="C789" t="s">
        <v>37</v>
      </c>
      <c r="D789" t="s">
        <v>44</v>
      </c>
      <c r="E789" t="s">
        <v>63</v>
      </c>
      <c r="F789" t="s">
        <v>64</v>
      </c>
      <c r="G789" t="s">
        <v>45</v>
      </c>
      <c r="H789" t="s">
        <v>32</v>
      </c>
      <c r="I789" t="s">
        <v>41</v>
      </c>
      <c r="J789" s="2">
        <v>44972</v>
      </c>
      <c r="K789" s="2">
        <v>44977</v>
      </c>
      <c r="L789" s="2">
        <v>44985</v>
      </c>
      <c r="M789" s="2">
        <v>44992</v>
      </c>
      <c r="N789" s="2">
        <v>44987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74</v>
      </c>
      <c r="U789">
        <v>89</v>
      </c>
      <c r="W789">
        <v>1</v>
      </c>
    </row>
    <row r="790" spans="1:25">
      <c r="A790" s="1" t="s">
        <v>859</v>
      </c>
      <c r="B790" t="s">
        <v>43</v>
      </c>
      <c r="C790" t="s">
        <v>47</v>
      </c>
      <c r="D790" t="s">
        <v>59</v>
      </c>
      <c r="E790" t="s">
        <v>54</v>
      </c>
      <c r="F790" t="s">
        <v>38</v>
      </c>
      <c r="G790" t="s">
        <v>55</v>
      </c>
      <c r="H790" t="s">
        <v>56</v>
      </c>
      <c r="I790" t="s">
        <v>41</v>
      </c>
      <c r="J790" s="2">
        <v>44994</v>
      </c>
      <c r="K790" s="2">
        <v>44998</v>
      </c>
      <c r="L790" s="2">
        <v>45003</v>
      </c>
      <c r="M790" s="2">
        <v>45007</v>
      </c>
      <c r="N790" s="2">
        <v>45014</v>
      </c>
      <c r="O790">
        <v>1</v>
      </c>
      <c r="P790">
        <v>1</v>
      </c>
      <c r="Q790">
        <v>0</v>
      </c>
      <c r="R790">
        <v>0</v>
      </c>
      <c r="S790">
        <v>0</v>
      </c>
      <c r="T790" t="s">
        <v>34</v>
      </c>
      <c r="U790">
        <v>89</v>
      </c>
      <c r="W790">
        <v>14</v>
      </c>
    </row>
    <row r="791" spans="1:25">
      <c r="A791" s="1" t="s">
        <v>860</v>
      </c>
      <c r="B791" t="s">
        <v>43</v>
      </c>
      <c r="C791" t="s">
        <v>47</v>
      </c>
      <c r="D791" t="s">
        <v>73</v>
      </c>
      <c r="E791" t="s">
        <v>63</v>
      </c>
      <c r="F791" t="s">
        <v>64</v>
      </c>
      <c r="G791" t="s">
        <v>55</v>
      </c>
      <c r="H791" t="s">
        <v>56</v>
      </c>
      <c r="I791" t="s">
        <v>33</v>
      </c>
      <c r="J791" s="2">
        <v>45320</v>
      </c>
      <c r="K791" s="2">
        <v>45324</v>
      </c>
      <c r="L791" s="2">
        <v>45333</v>
      </c>
      <c r="M791" s="2">
        <v>45340</v>
      </c>
      <c r="N791" s="2">
        <v>45347</v>
      </c>
      <c r="O791">
        <v>1</v>
      </c>
      <c r="P791">
        <v>0</v>
      </c>
      <c r="Q791">
        <v>0</v>
      </c>
      <c r="R791">
        <v>0</v>
      </c>
      <c r="S791">
        <v>0</v>
      </c>
      <c r="T791" t="s">
        <v>34</v>
      </c>
      <c r="U791">
        <v>55</v>
      </c>
      <c r="W791">
        <v>10</v>
      </c>
    </row>
    <row r="792" spans="1:25">
      <c r="A792" s="1" t="s">
        <v>861</v>
      </c>
      <c r="B792" t="s">
        <v>58</v>
      </c>
      <c r="C792" t="s">
        <v>27</v>
      </c>
      <c r="D792" t="s">
        <v>44</v>
      </c>
      <c r="E792" t="s">
        <v>63</v>
      </c>
      <c r="F792" t="s">
        <v>30</v>
      </c>
      <c r="G792" t="s">
        <v>60</v>
      </c>
      <c r="H792" t="s">
        <v>56</v>
      </c>
      <c r="I792" t="s">
        <v>41</v>
      </c>
      <c r="J792" s="2">
        <v>45041</v>
      </c>
      <c r="K792" s="2">
        <v>45044</v>
      </c>
      <c r="L792" s="2">
        <v>45049</v>
      </c>
      <c r="M792" s="2">
        <v>45053</v>
      </c>
      <c r="N792" s="2">
        <v>45054</v>
      </c>
      <c r="O792">
        <v>1</v>
      </c>
      <c r="P792">
        <v>0</v>
      </c>
      <c r="Q792">
        <v>0</v>
      </c>
      <c r="R792">
        <v>0</v>
      </c>
      <c r="S792">
        <v>0</v>
      </c>
      <c r="T792" t="s">
        <v>34</v>
      </c>
      <c r="U792">
        <v>48</v>
      </c>
      <c r="W792">
        <v>2</v>
      </c>
    </row>
    <row r="793" spans="1:25">
      <c r="A793" s="1" t="s">
        <v>862</v>
      </c>
      <c r="B793" t="s">
        <v>43</v>
      </c>
      <c r="C793" t="s">
        <v>78</v>
      </c>
      <c r="D793" t="s">
        <v>73</v>
      </c>
      <c r="E793" t="s">
        <v>63</v>
      </c>
      <c r="F793" t="s">
        <v>64</v>
      </c>
      <c r="G793" t="s">
        <v>39</v>
      </c>
      <c r="H793" t="s">
        <v>32</v>
      </c>
      <c r="I793" t="s">
        <v>33</v>
      </c>
      <c r="J793" s="2">
        <v>45284</v>
      </c>
      <c r="K793" s="2">
        <v>45287</v>
      </c>
      <c r="L793" s="2">
        <v>45293</v>
      </c>
      <c r="M793" s="2">
        <v>45295</v>
      </c>
      <c r="N793" s="2">
        <v>45305</v>
      </c>
      <c r="O793">
        <v>1</v>
      </c>
      <c r="P793">
        <v>0</v>
      </c>
      <c r="Q793">
        <v>0</v>
      </c>
      <c r="R793">
        <v>0</v>
      </c>
      <c r="S793">
        <v>0</v>
      </c>
      <c r="T793" t="s">
        <v>34</v>
      </c>
      <c r="U793">
        <v>61</v>
      </c>
      <c r="W793">
        <v>7</v>
      </c>
    </row>
    <row r="794" spans="1:25">
      <c r="A794" s="1" t="s">
        <v>863</v>
      </c>
      <c r="B794" t="s">
        <v>70</v>
      </c>
      <c r="C794" t="s">
        <v>37</v>
      </c>
      <c r="D794" t="s">
        <v>44</v>
      </c>
      <c r="E794" t="s">
        <v>54</v>
      </c>
      <c r="F794" t="s">
        <v>67</v>
      </c>
      <c r="G794" t="s">
        <v>39</v>
      </c>
      <c r="H794" t="s">
        <v>56</v>
      </c>
      <c r="I794" t="s">
        <v>33</v>
      </c>
      <c r="J794" s="2">
        <v>45420</v>
      </c>
      <c r="K794" s="2">
        <v>45422</v>
      </c>
      <c r="L794" s="2">
        <v>45432</v>
      </c>
      <c r="M794" s="2">
        <v>45436</v>
      </c>
      <c r="N794" s="2">
        <v>45455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74</v>
      </c>
      <c r="U794">
        <v>54</v>
      </c>
      <c r="W794">
        <v>1</v>
      </c>
    </row>
    <row r="795" spans="1:25">
      <c r="A795" s="1" t="s">
        <v>864</v>
      </c>
      <c r="B795" t="s">
        <v>26</v>
      </c>
      <c r="C795" t="s">
        <v>27</v>
      </c>
      <c r="D795" t="s">
        <v>52</v>
      </c>
      <c r="E795" t="s">
        <v>54</v>
      </c>
      <c r="F795" t="s">
        <v>67</v>
      </c>
      <c r="G795" t="s">
        <v>45</v>
      </c>
      <c r="H795" t="s">
        <v>32</v>
      </c>
      <c r="I795" t="s">
        <v>33</v>
      </c>
      <c r="J795" s="2">
        <v>45062</v>
      </c>
      <c r="K795" s="2">
        <v>45067</v>
      </c>
      <c r="L795" s="2">
        <v>45077</v>
      </c>
      <c r="M795" s="2">
        <v>45083</v>
      </c>
      <c r="N795" s="2">
        <v>45084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74</v>
      </c>
      <c r="U795">
        <v>67</v>
      </c>
      <c r="W795">
        <v>0</v>
      </c>
    </row>
    <row r="796" spans="1:25">
      <c r="A796" s="1" t="s">
        <v>865</v>
      </c>
      <c r="B796" t="s">
        <v>70</v>
      </c>
      <c r="C796" t="s">
        <v>78</v>
      </c>
      <c r="D796" t="s">
        <v>73</v>
      </c>
      <c r="E796" t="s">
        <v>54</v>
      </c>
      <c r="F796" t="s">
        <v>64</v>
      </c>
      <c r="G796" t="s">
        <v>31</v>
      </c>
      <c r="H796" t="s">
        <v>40</v>
      </c>
      <c r="I796" t="s">
        <v>33</v>
      </c>
      <c r="J796" s="2">
        <v>45439</v>
      </c>
      <c r="K796" s="2">
        <v>45440</v>
      </c>
      <c r="L796" s="2">
        <v>45450</v>
      </c>
      <c r="M796" s="2">
        <v>45455</v>
      </c>
      <c r="N796" s="2">
        <v>45463</v>
      </c>
      <c r="O796">
        <v>1</v>
      </c>
      <c r="P796">
        <v>1</v>
      </c>
      <c r="Q796">
        <v>1</v>
      </c>
      <c r="R796">
        <v>1</v>
      </c>
      <c r="S796">
        <v>0</v>
      </c>
      <c r="T796" t="s">
        <v>61</v>
      </c>
      <c r="U796">
        <v>100</v>
      </c>
      <c r="V796">
        <v>24</v>
      </c>
      <c r="W796">
        <v>8</v>
      </c>
      <c r="X796">
        <v>1927806</v>
      </c>
    </row>
    <row r="797" spans="1:25">
      <c r="A797" s="1" t="s">
        <v>866</v>
      </c>
      <c r="B797" t="s">
        <v>90</v>
      </c>
      <c r="C797" t="s">
        <v>27</v>
      </c>
      <c r="D797" t="s">
        <v>59</v>
      </c>
      <c r="E797" t="s">
        <v>54</v>
      </c>
      <c r="F797" t="s">
        <v>67</v>
      </c>
      <c r="G797" t="s">
        <v>31</v>
      </c>
      <c r="H797" t="s">
        <v>40</v>
      </c>
      <c r="I797" t="s">
        <v>41</v>
      </c>
      <c r="J797" s="2">
        <v>45459</v>
      </c>
      <c r="K797" s="2">
        <v>45463</v>
      </c>
      <c r="L797" s="2">
        <v>45468</v>
      </c>
      <c r="M797" s="2">
        <v>45472</v>
      </c>
      <c r="N797" s="2">
        <v>45493</v>
      </c>
      <c r="O797">
        <v>1</v>
      </c>
      <c r="P797">
        <v>1</v>
      </c>
      <c r="Q797">
        <v>1</v>
      </c>
      <c r="R797">
        <v>0</v>
      </c>
      <c r="S797">
        <v>0</v>
      </c>
      <c r="T797" t="s">
        <v>49</v>
      </c>
      <c r="U797">
        <v>82</v>
      </c>
      <c r="W797">
        <v>2</v>
      </c>
      <c r="X797">
        <v>489936</v>
      </c>
      <c r="Y797" t="s">
        <v>127</v>
      </c>
    </row>
    <row r="798" spans="1:25">
      <c r="A798" s="1" t="s">
        <v>867</v>
      </c>
      <c r="B798" t="s">
        <v>70</v>
      </c>
      <c r="C798" t="s">
        <v>37</v>
      </c>
      <c r="D798" t="s">
        <v>59</v>
      </c>
      <c r="E798" t="s">
        <v>54</v>
      </c>
      <c r="F798" t="s">
        <v>30</v>
      </c>
      <c r="G798" t="s">
        <v>39</v>
      </c>
      <c r="H798" t="s">
        <v>32</v>
      </c>
      <c r="I798" t="s">
        <v>41</v>
      </c>
      <c r="J798" s="2">
        <v>45308</v>
      </c>
      <c r="K798" s="2">
        <v>45309</v>
      </c>
      <c r="L798" s="2">
        <v>45316</v>
      </c>
      <c r="M798" s="2">
        <v>45319</v>
      </c>
      <c r="N798" s="2">
        <v>45336</v>
      </c>
      <c r="O798">
        <v>1</v>
      </c>
      <c r="P798">
        <v>0</v>
      </c>
      <c r="Q798">
        <v>0</v>
      </c>
      <c r="R798">
        <v>0</v>
      </c>
      <c r="S798">
        <v>0</v>
      </c>
      <c r="T798" t="s">
        <v>34</v>
      </c>
      <c r="U798">
        <v>94</v>
      </c>
      <c r="W798">
        <v>1</v>
      </c>
    </row>
    <row r="799" spans="1:25">
      <c r="A799" s="1" t="s">
        <v>868</v>
      </c>
      <c r="B799" t="s">
        <v>36</v>
      </c>
      <c r="C799" t="s">
        <v>71</v>
      </c>
      <c r="D799" t="s">
        <v>59</v>
      </c>
      <c r="E799" t="s">
        <v>63</v>
      </c>
      <c r="F799" t="s">
        <v>30</v>
      </c>
      <c r="G799" t="s">
        <v>45</v>
      </c>
      <c r="H799" t="s">
        <v>32</v>
      </c>
      <c r="I799" t="s">
        <v>33</v>
      </c>
      <c r="J799" s="2">
        <v>45042</v>
      </c>
      <c r="K799" s="2">
        <v>45044</v>
      </c>
      <c r="L799" s="2">
        <v>45050</v>
      </c>
      <c r="M799" s="2">
        <v>45056</v>
      </c>
      <c r="N799" s="2">
        <v>45067</v>
      </c>
      <c r="O799">
        <v>1</v>
      </c>
      <c r="P799">
        <v>1</v>
      </c>
      <c r="Q799">
        <v>1</v>
      </c>
      <c r="R799">
        <v>1</v>
      </c>
      <c r="S799">
        <v>0</v>
      </c>
      <c r="T799" t="s">
        <v>61</v>
      </c>
      <c r="U799">
        <v>50</v>
      </c>
      <c r="V799">
        <v>25</v>
      </c>
      <c r="W799">
        <v>7</v>
      </c>
      <c r="X799">
        <v>851849</v>
      </c>
    </row>
    <row r="800" spans="1:25">
      <c r="A800" s="1" t="s">
        <v>869</v>
      </c>
      <c r="B800" t="s">
        <v>70</v>
      </c>
      <c r="C800" t="s">
        <v>27</v>
      </c>
      <c r="D800" t="s">
        <v>52</v>
      </c>
      <c r="E800" t="s">
        <v>54</v>
      </c>
      <c r="F800" t="s">
        <v>38</v>
      </c>
      <c r="G800" t="s">
        <v>55</v>
      </c>
      <c r="H800" t="s">
        <v>56</v>
      </c>
      <c r="I800" t="s">
        <v>33</v>
      </c>
      <c r="J800" s="2">
        <v>45090</v>
      </c>
      <c r="K800" s="2">
        <v>45094</v>
      </c>
      <c r="L800" s="2">
        <v>45104</v>
      </c>
      <c r="M800" s="2">
        <v>45110</v>
      </c>
      <c r="N800" s="2">
        <v>45114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74</v>
      </c>
      <c r="U800">
        <v>72</v>
      </c>
      <c r="W800">
        <v>0</v>
      </c>
    </row>
    <row r="801" spans="1:25">
      <c r="A801" s="1" t="s">
        <v>870</v>
      </c>
      <c r="B801" t="s">
        <v>70</v>
      </c>
      <c r="C801" t="s">
        <v>71</v>
      </c>
      <c r="D801" t="s">
        <v>44</v>
      </c>
      <c r="E801" t="s">
        <v>102</v>
      </c>
      <c r="F801" t="s">
        <v>48</v>
      </c>
      <c r="G801" t="s">
        <v>45</v>
      </c>
      <c r="H801" t="s">
        <v>32</v>
      </c>
      <c r="I801" t="s">
        <v>41</v>
      </c>
      <c r="J801" s="2">
        <v>44929</v>
      </c>
      <c r="K801" s="2">
        <v>44933</v>
      </c>
      <c r="L801" s="2">
        <v>44940</v>
      </c>
      <c r="M801" s="2">
        <v>44943</v>
      </c>
      <c r="N801" s="2">
        <v>44959</v>
      </c>
      <c r="O801">
        <v>1</v>
      </c>
      <c r="P801">
        <v>1</v>
      </c>
      <c r="Q801">
        <v>1</v>
      </c>
      <c r="R801">
        <v>0</v>
      </c>
      <c r="S801">
        <v>0</v>
      </c>
      <c r="T801" t="s">
        <v>49</v>
      </c>
      <c r="U801">
        <v>57</v>
      </c>
      <c r="W801">
        <v>3</v>
      </c>
      <c r="X801">
        <v>855250</v>
      </c>
      <c r="Y801" t="s">
        <v>80</v>
      </c>
    </row>
    <row r="802" spans="1:25">
      <c r="A802" s="1" t="s">
        <v>871</v>
      </c>
      <c r="B802" t="s">
        <v>36</v>
      </c>
      <c r="C802" t="s">
        <v>27</v>
      </c>
      <c r="D802" t="s">
        <v>44</v>
      </c>
      <c r="E802" t="s">
        <v>66</v>
      </c>
      <c r="F802" t="s">
        <v>48</v>
      </c>
      <c r="G802" t="s">
        <v>60</v>
      </c>
      <c r="H802" t="s">
        <v>40</v>
      </c>
      <c r="I802" t="s">
        <v>41</v>
      </c>
      <c r="J802" s="2">
        <v>45238</v>
      </c>
      <c r="K802" s="2">
        <v>45241</v>
      </c>
      <c r="L802" s="2">
        <v>45248</v>
      </c>
      <c r="M802" s="2">
        <v>45251</v>
      </c>
      <c r="N802" s="2">
        <v>45254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74</v>
      </c>
      <c r="U802">
        <v>98</v>
      </c>
      <c r="W802">
        <v>1</v>
      </c>
    </row>
    <row r="803" spans="1:25">
      <c r="A803" s="1" t="s">
        <v>872</v>
      </c>
      <c r="B803" t="s">
        <v>26</v>
      </c>
      <c r="C803" t="s">
        <v>71</v>
      </c>
      <c r="D803" t="s">
        <v>73</v>
      </c>
      <c r="E803" t="s">
        <v>54</v>
      </c>
      <c r="F803" t="s">
        <v>38</v>
      </c>
      <c r="G803" t="s">
        <v>45</v>
      </c>
      <c r="H803" t="s">
        <v>32</v>
      </c>
      <c r="I803" t="s">
        <v>41</v>
      </c>
      <c r="J803" s="2">
        <v>45189</v>
      </c>
      <c r="K803" s="2">
        <v>45190</v>
      </c>
      <c r="L803" s="2">
        <v>45194</v>
      </c>
      <c r="M803" s="2">
        <v>45199</v>
      </c>
      <c r="N803" s="2">
        <v>45206</v>
      </c>
      <c r="O803">
        <v>1</v>
      </c>
      <c r="P803">
        <v>1</v>
      </c>
      <c r="Q803">
        <v>1</v>
      </c>
      <c r="R803">
        <v>1</v>
      </c>
      <c r="S803">
        <v>0</v>
      </c>
      <c r="T803" t="s">
        <v>61</v>
      </c>
      <c r="U803">
        <v>54</v>
      </c>
      <c r="V803">
        <v>17</v>
      </c>
      <c r="W803">
        <v>3</v>
      </c>
      <c r="X803">
        <v>948767</v>
      </c>
    </row>
    <row r="804" spans="1:25">
      <c r="A804" s="1" t="s">
        <v>873</v>
      </c>
      <c r="B804" t="s">
        <v>26</v>
      </c>
      <c r="C804" t="s">
        <v>71</v>
      </c>
      <c r="D804" t="s">
        <v>52</v>
      </c>
      <c r="E804" t="s">
        <v>66</v>
      </c>
      <c r="F804" t="s">
        <v>64</v>
      </c>
      <c r="G804" t="s">
        <v>39</v>
      </c>
      <c r="H804" t="s">
        <v>32</v>
      </c>
      <c r="I804" t="s">
        <v>41</v>
      </c>
      <c r="J804" s="2">
        <v>45261</v>
      </c>
      <c r="K804" s="2">
        <v>45263</v>
      </c>
      <c r="L804" s="2">
        <v>45273</v>
      </c>
      <c r="M804" s="2">
        <v>45279</v>
      </c>
      <c r="N804" s="2">
        <v>45273</v>
      </c>
      <c r="O804">
        <v>1</v>
      </c>
      <c r="P804">
        <v>1</v>
      </c>
      <c r="Q804">
        <v>0</v>
      </c>
      <c r="R804">
        <v>0</v>
      </c>
      <c r="S804">
        <v>0</v>
      </c>
      <c r="T804" t="s">
        <v>34</v>
      </c>
      <c r="U804">
        <v>81</v>
      </c>
      <c r="W804">
        <v>7</v>
      </c>
    </row>
    <row r="805" spans="1:25">
      <c r="A805" s="1" t="s">
        <v>874</v>
      </c>
      <c r="B805" t="s">
        <v>26</v>
      </c>
      <c r="C805" t="s">
        <v>78</v>
      </c>
      <c r="D805" t="s">
        <v>59</v>
      </c>
      <c r="E805" t="s">
        <v>54</v>
      </c>
      <c r="F805" t="s">
        <v>48</v>
      </c>
      <c r="G805" t="s">
        <v>45</v>
      </c>
      <c r="H805" t="s">
        <v>40</v>
      </c>
      <c r="I805" t="s">
        <v>33</v>
      </c>
      <c r="J805" s="2">
        <v>44957</v>
      </c>
      <c r="K805" s="2">
        <v>44958</v>
      </c>
      <c r="L805" s="2">
        <v>44966</v>
      </c>
      <c r="M805" s="2">
        <v>44972</v>
      </c>
      <c r="N805" s="2">
        <v>44973</v>
      </c>
      <c r="O805">
        <v>1</v>
      </c>
      <c r="P805">
        <v>1</v>
      </c>
      <c r="Q805">
        <v>1</v>
      </c>
      <c r="R805">
        <v>0</v>
      </c>
      <c r="S805">
        <v>0</v>
      </c>
      <c r="T805" t="s">
        <v>49</v>
      </c>
      <c r="U805">
        <v>57</v>
      </c>
      <c r="W805">
        <v>7</v>
      </c>
      <c r="X805">
        <v>1542477</v>
      </c>
      <c r="Y805" t="s">
        <v>68</v>
      </c>
    </row>
    <row r="806" spans="1:25">
      <c r="A806" s="1" t="s">
        <v>875</v>
      </c>
      <c r="B806" t="s">
        <v>90</v>
      </c>
      <c r="C806" t="s">
        <v>37</v>
      </c>
      <c r="D806" t="s">
        <v>73</v>
      </c>
      <c r="E806" t="s">
        <v>66</v>
      </c>
      <c r="F806" t="s">
        <v>76</v>
      </c>
      <c r="G806" t="s">
        <v>31</v>
      </c>
      <c r="H806" t="s">
        <v>56</v>
      </c>
      <c r="I806" t="s">
        <v>33</v>
      </c>
      <c r="J806" s="2">
        <v>45011</v>
      </c>
      <c r="K806" s="2">
        <v>45014</v>
      </c>
      <c r="L806" s="2">
        <v>45024</v>
      </c>
      <c r="M806" s="2">
        <v>45028</v>
      </c>
      <c r="N806" s="2">
        <v>45030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74</v>
      </c>
      <c r="U806">
        <v>53</v>
      </c>
      <c r="W806">
        <v>2</v>
      </c>
    </row>
    <row r="807" spans="1:25">
      <c r="A807" s="1" t="s">
        <v>876</v>
      </c>
      <c r="B807" t="s">
        <v>70</v>
      </c>
      <c r="C807" t="s">
        <v>37</v>
      </c>
      <c r="D807" t="s">
        <v>73</v>
      </c>
      <c r="E807" t="s">
        <v>29</v>
      </c>
      <c r="F807" t="s">
        <v>48</v>
      </c>
      <c r="G807" t="s">
        <v>60</v>
      </c>
      <c r="H807" t="s">
        <v>40</v>
      </c>
      <c r="I807" t="s">
        <v>33</v>
      </c>
      <c r="J807" s="2">
        <v>45245</v>
      </c>
      <c r="K807" s="2">
        <v>45249</v>
      </c>
      <c r="L807" s="2">
        <v>45257</v>
      </c>
      <c r="M807" s="2">
        <v>45259</v>
      </c>
      <c r="N807" s="2">
        <v>45279</v>
      </c>
      <c r="O807">
        <v>1</v>
      </c>
      <c r="P807">
        <v>1</v>
      </c>
      <c r="Q807">
        <v>1</v>
      </c>
      <c r="R807">
        <v>0</v>
      </c>
      <c r="S807">
        <v>0</v>
      </c>
      <c r="T807" t="s">
        <v>49</v>
      </c>
      <c r="U807">
        <v>47</v>
      </c>
      <c r="W807">
        <v>3</v>
      </c>
      <c r="X807">
        <v>708760</v>
      </c>
      <c r="Y807" t="s">
        <v>87</v>
      </c>
    </row>
    <row r="808" spans="1:25">
      <c r="A808" s="1" t="s">
        <v>877</v>
      </c>
      <c r="B808" t="s">
        <v>90</v>
      </c>
      <c r="C808" t="s">
        <v>27</v>
      </c>
      <c r="D808" t="s">
        <v>44</v>
      </c>
      <c r="E808" t="s">
        <v>29</v>
      </c>
      <c r="F808" t="s">
        <v>67</v>
      </c>
      <c r="G808" t="s">
        <v>60</v>
      </c>
      <c r="H808" t="s">
        <v>40</v>
      </c>
      <c r="I808" t="s">
        <v>41</v>
      </c>
      <c r="J808" s="2">
        <v>45183</v>
      </c>
      <c r="K808" s="2">
        <v>45186</v>
      </c>
      <c r="L808" s="2">
        <v>45193</v>
      </c>
      <c r="M808" s="2">
        <v>45200</v>
      </c>
      <c r="N808" s="2">
        <v>45202</v>
      </c>
      <c r="O808">
        <v>1</v>
      </c>
      <c r="P808">
        <v>1</v>
      </c>
      <c r="Q808">
        <v>1</v>
      </c>
      <c r="R808">
        <v>1</v>
      </c>
      <c r="S808">
        <v>0</v>
      </c>
      <c r="T808" t="s">
        <v>61</v>
      </c>
      <c r="U808">
        <v>89</v>
      </c>
      <c r="V808">
        <v>19</v>
      </c>
      <c r="W808">
        <v>2</v>
      </c>
      <c r="X808">
        <v>486369</v>
      </c>
    </row>
    <row r="809" spans="1:25">
      <c r="A809" s="1" t="s">
        <v>878</v>
      </c>
      <c r="B809" t="s">
        <v>43</v>
      </c>
      <c r="C809" t="s">
        <v>71</v>
      </c>
      <c r="D809" t="s">
        <v>52</v>
      </c>
      <c r="E809" t="s">
        <v>102</v>
      </c>
      <c r="F809" t="s">
        <v>67</v>
      </c>
      <c r="G809" t="s">
        <v>31</v>
      </c>
      <c r="H809" t="s">
        <v>32</v>
      </c>
      <c r="I809" t="s">
        <v>41</v>
      </c>
      <c r="J809" s="2">
        <v>45470</v>
      </c>
      <c r="K809" s="2">
        <v>45474</v>
      </c>
      <c r="L809" s="2">
        <v>45481</v>
      </c>
      <c r="M809" s="2">
        <v>45483</v>
      </c>
      <c r="N809" s="2">
        <v>45492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74</v>
      </c>
      <c r="U809">
        <v>68</v>
      </c>
      <c r="W809">
        <v>7</v>
      </c>
    </row>
    <row r="810" spans="1:25">
      <c r="A810" s="1" t="s">
        <v>879</v>
      </c>
      <c r="B810" t="s">
        <v>90</v>
      </c>
      <c r="C810" t="s">
        <v>47</v>
      </c>
      <c r="D810" t="s">
        <v>73</v>
      </c>
      <c r="E810" t="s">
        <v>54</v>
      </c>
      <c r="F810" t="s">
        <v>38</v>
      </c>
      <c r="G810" t="s">
        <v>55</v>
      </c>
      <c r="H810" t="s">
        <v>56</v>
      </c>
      <c r="I810" t="s">
        <v>41</v>
      </c>
      <c r="J810" s="2">
        <v>45180</v>
      </c>
      <c r="K810" s="2">
        <v>45185</v>
      </c>
      <c r="L810" s="2">
        <v>45194</v>
      </c>
      <c r="M810" s="2">
        <v>45200</v>
      </c>
      <c r="N810" s="2">
        <v>45214</v>
      </c>
      <c r="O810">
        <v>1</v>
      </c>
      <c r="P810">
        <v>0</v>
      </c>
      <c r="Q810">
        <v>0</v>
      </c>
      <c r="R810">
        <v>0</v>
      </c>
      <c r="S810">
        <v>0</v>
      </c>
      <c r="T810" t="s">
        <v>34</v>
      </c>
      <c r="U810">
        <v>69</v>
      </c>
      <c r="W810">
        <v>8</v>
      </c>
    </row>
    <row r="811" spans="1:25">
      <c r="A811" s="1" t="s">
        <v>880</v>
      </c>
      <c r="B811" t="s">
        <v>70</v>
      </c>
      <c r="C811" t="s">
        <v>37</v>
      </c>
      <c r="D811" t="s">
        <v>44</v>
      </c>
      <c r="E811" t="s">
        <v>66</v>
      </c>
      <c r="F811" t="s">
        <v>38</v>
      </c>
      <c r="G811" t="s">
        <v>55</v>
      </c>
      <c r="H811" t="s">
        <v>32</v>
      </c>
      <c r="I811" t="s">
        <v>41</v>
      </c>
      <c r="J811" s="2">
        <v>45016</v>
      </c>
      <c r="K811" s="2">
        <v>45021</v>
      </c>
      <c r="L811" s="2">
        <v>45027</v>
      </c>
      <c r="M811" s="2">
        <v>45029</v>
      </c>
      <c r="N811" s="2">
        <v>45043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74</v>
      </c>
      <c r="U811">
        <v>93</v>
      </c>
      <c r="W811">
        <v>2</v>
      </c>
    </row>
    <row r="812" spans="1:25">
      <c r="A812" s="1" t="s">
        <v>881</v>
      </c>
      <c r="B812" t="s">
        <v>90</v>
      </c>
      <c r="C812" t="s">
        <v>78</v>
      </c>
      <c r="D812" t="s">
        <v>28</v>
      </c>
      <c r="E812" t="s">
        <v>63</v>
      </c>
      <c r="F812" t="s">
        <v>76</v>
      </c>
      <c r="G812" t="s">
        <v>60</v>
      </c>
      <c r="H812" t="s">
        <v>56</v>
      </c>
      <c r="I812" t="s">
        <v>33</v>
      </c>
      <c r="J812" s="2">
        <v>45107</v>
      </c>
      <c r="K812" s="2">
        <v>45110</v>
      </c>
      <c r="L812" s="2">
        <v>45119</v>
      </c>
      <c r="M812" s="2">
        <v>45124</v>
      </c>
      <c r="N812" s="2">
        <v>45128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74</v>
      </c>
      <c r="U812">
        <v>71</v>
      </c>
      <c r="W812">
        <v>9</v>
      </c>
    </row>
    <row r="813" spans="1:25">
      <c r="A813" s="1" t="s">
        <v>882</v>
      </c>
      <c r="B813" t="s">
        <v>70</v>
      </c>
      <c r="C813" t="s">
        <v>27</v>
      </c>
      <c r="D813" t="s">
        <v>52</v>
      </c>
      <c r="E813" t="s">
        <v>102</v>
      </c>
      <c r="F813" t="s">
        <v>38</v>
      </c>
      <c r="G813" t="s">
        <v>60</v>
      </c>
      <c r="H813" t="s">
        <v>56</v>
      </c>
      <c r="I813" t="s">
        <v>33</v>
      </c>
      <c r="J813" s="2">
        <v>45425</v>
      </c>
      <c r="K813" s="2">
        <v>45426</v>
      </c>
      <c r="L813" s="2">
        <v>45434</v>
      </c>
      <c r="M813" s="2">
        <v>45441</v>
      </c>
      <c r="N813" s="2">
        <v>45460</v>
      </c>
      <c r="O813">
        <v>1</v>
      </c>
      <c r="P813">
        <v>1</v>
      </c>
      <c r="Q813">
        <v>0</v>
      </c>
      <c r="R813">
        <v>0</v>
      </c>
      <c r="S813">
        <v>0</v>
      </c>
      <c r="T813" t="s">
        <v>34</v>
      </c>
      <c r="U813">
        <v>55</v>
      </c>
      <c r="W813">
        <v>0</v>
      </c>
    </row>
    <row r="814" spans="1:25">
      <c r="A814" s="1" t="s">
        <v>883</v>
      </c>
      <c r="B814" t="s">
        <v>36</v>
      </c>
      <c r="C814" t="s">
        <v>78</v>
      </c>
      <c r="D814" t="s">
        <v>44</v>
      </c>
      <c r="E814" t="s">
        <v>102</v>
      </c>
      <c r="F814" t="s">
        <v>30</v>
      </c>
      <c r="G814" t="s">
        <v>60</v>
      </c>
      <c r="H814" t="s">
        <v>56</v>
      </c>
      <c r="I814" t="s">
        <v>33</v>
      </c>
      <c r="J814" s="2">
        <v>45140</v>
      </c>
      <c r="K814" s="2">
        <v>45143</v>
      </c>
      <c r="L814" s="2">
        <v>45151</v>
      </c>
      <c r="M814" s="2">
        <v>45154</v>
      </c>
      <c r="N814" s="2">
        <v>45170</v>
      </c>
      <c r="O814">
        <v>1</v>
      </c>
      <c r="P814">
        <v>1</v>
      </c>
      <c r="Q814">
        <v>1</v>
      </c>
      <c r="R814">
        <v>0</v>
      </c>
      <c r="S814">
        <v>0</v>
      </c>
      <c r="T814" t="s">
        <v>49</v>
      </c>
      <c r="U814">
        <v>72</v>
      </c>
      <c r="W814">
        <v>6</v>
      </c>
      <c r="X814">
        <v>1649370</v>
      </c>
      <c r="Y814" t="s">
        <v>80</v>
      </c>
    </row>
    <row r="815" spans="1:25">
      <c r="A815" s="1" t="s">
        <v>884</v>
      </c>
      <c r="B815" t="s">
        <v>26</v>
      </c>
      <c r="C815" t="s">
        <v>37</v>
      </c>
      <c r="D815" t="s">
        <v>59</v>
      </c>
      <c r="E815" t="s">
        <v>29</v>
      </c>
      <c r="F815" t="s">
        <v>64</v>
      </c>
      <c r="G815" t="s">
        <v>31</v>
      </c>
      <c r="H815" t="s">
        <v>32</v>
      </c>
      <c r="I815" t="s">
        <v>41</v>
      </c>
      <c r="J815" s="2">
        <v>44977</v>
      </c>
      <c r="K815" s="2">
        <v>44979</v>
      </c>
      <c r="L815" s="2">
        <v>44987</v>
      </c>
      <c r="M815" s="2">
        <v>44994</v>
      </c>
      <c r="N815" s="2">
        <v>44993</v>
      </c>
      <c r="O815">
        <v>1</v>
      </c>
      <c r="P815">
        <v>1</v>
      </c>
      <c r="Q815">
        <v>1</v>
      </c>
      <c r="R815">
        <v>1</v>
      </c>
      <c r="S815">
        <v>0</v>
      </c>
      <c r="T815" t="s">
        <v>61</v>
      </c>
      <c r="U815">
        <v>66</v>
      </c>
      <c r="V815">
        <v>16</v>
      </c>
      <c r="W815">
        <v>2</v>
      </c>
      <c r="X815">
        <v>570318</v>
      </c>
    </row>
    <row r="816" spans="1:25">
      <c r="A816" s="1" t="s">
        <v>885</v>
      </c>
      <c r="B816" t="s">
        <v>26</v>
      </c>
      <c r="C816" t="s">
        <v>47</v>
      </c>
      <c r="D816" t="s">
        <v>44</v>
      </c>
      <c r="E816" t="s">
        <v>102</v>
      </c>
      <c r="F816" t="s">
        <v>76</v>
      </c>
      <c r="G816" t="s">
        <v>55</v>
      </c>
      <c r="H816" t="s">
        <v>40</v>
      </c>
      <c r="I816" t="s">
        <v>41</v>
      </c>
      <c r="J816" s="2">
        <v>45159</v>
      </c>
      <c r="K816" s="2">
        <v>45161</v>
      </c>
      <c r="L816" s="2">
        <v>45165</v>
      </c>
      <c r="M816" s="2">
        <v>45170</v>
      </c>
      <c r="N816" s="2">
        <v>45184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74</v>
      </c>
      <c r="U816">
        <v>57</v>
      </c>
      <c r="W816">
        <v>15</v>
      </c>
    </row>
    <row r="817" spans="1:25">
      <c r="A817" s="1" t="s">
        <v>886</v>
      </c>
      <c r="B817" t="s">
        <v>26</v>
      </c>
      <c r="C817" t="s">
        <v>37</v>
      </c>
      <c r="D817" t="s">
        <v>44</v>
      </c>
      <c r="E817" t="s">
        <v>66</v>
      </c>
      <c r="F817" t="s">
        <v>76</v>
      </c>
      <c r="G817" t="s">
        <v>45</v>
      </c>
      <c r="H817" t="s">
        <v>40</v>
      </c>
      <c r="I817" t="s">
        <v>33</v>
      </c>
      <c r="J817" s="2">
        <v>45081</v>
      </c>
      <c r="K817" s="2">
        <v>45085</v>
      </c>
      <c r="L817" s="2">
        <v>45090</v>
      </c>
      <c r="M817" s="2">
        <v>45094</v>
      </c>
      <c r="N817" s="2">
        <v>45102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74</v>
      </c>
      <c r="U817">
        <v>77</v>
      </c>
      <c r="W817">
        <v>1</v>
      </c>
    </row>
    <row r="818" spans="1:25">
      <c r="A818" s="1" t="s">
        <v>887</v>
      </c>
      <c r="B818" t="s">
        <v>43</v>
      </c>
      <c r="C818" t="s">
        <v>78</v>
      </c>
      <c r="D818" t="s">
        <v>44</v>
      </c>
      <c r="E818" t="s">
        <v>63</v>
      </c>
      <c r="F818" t="s">
        <v>64</v>
      </c>
      <c r="G818" t="s">
        <v>45</v>
      </c>
      <c r="H818" t="s">
        <v>56</v>
      </c>
      <c r="I818" t="s">
        <v>41</v>
      </c>
      <c r="J818" s="2">
        <v>45247</v>
      </c>
      <c r="K818" s="2">
        <v>45249</v>
      </c>
      <c r="L818" s="2">
        <v>45259</v>
      </c>
      <c r="M818" s="2">
        <v>45261</v>
      </c>
      <c r="N818" s="2">
        <v>45272</v>
      </c>
      <c r="O818">
        <v>1</v>
      </c>
      <c r="P818">
        <v>0</v>
      </c>
      <c r="Q818">
        <v>0</v>
      </c>
      <c r="R818">
        <v>0</v>
      </c>
      <c r="S818">
        <v>0</v>
      </c>
      <c r="T818" t="s">
        <v>34</v>
      </c>
      <c r="U818">
        <v>70</v>
      </c>
      <c r="W818">
        <v>6</v>
      </c>
    </row>
    <row r="819" spans="1:25">
      <c r="A819" s="1" t="s">
        <v>888</v>
      </c>
      <c r="B819" t="s">
        <v>26</v>
      </c>
      <c r="C819" t="s">
        <v>47</v>
      </c>
      <c r="D819" t="s">
        <v>59</v>
      </c>
      <c r="E819" t="s">
        <v>66</v>
      </c>
      <c r="F819" t="s">
        <v>76</v>
      </c>
      <c r="G819" t="s">
        <v>60</v>
      </c>
      <c r="H819" t="s">
        <v>56</v>
      </c>
      <c r="I819" t="s">
        <v>41</v>
      </c>
      <c r="J819" s="2">
        <v>45275</v>
      </c>
      <c r="K819" s="2">
        <v>45280</v>
      </c>
      <c r="L819" s="2">
        <v>45288</v>
      </c>
      <c r="M819" s="2">
        <v>45292</v>
      </c>
      <c r="N819" s="2">
        <v>45293</v>
      </c>
      <c r="O819">
        <v>1</v>
      </c>
      <c r="P819">
        <v>0</v>
      </c>
      <c r="Q819">
        <v>0</v>
      </c>
      <c r="R819">
        <v>0</v>
      </c>
      <c r="S819">
        <v>0</v>
      </c>
      <c r="T819" t="s">
        <v>34</v>
      </c>
      <c r="U819">
        <v>68</v>
      </c>
      <c r="W819">
        <v>12</v>
      </c>
    </row>
    <row r="820" spans="1:25">
      <c r="A820" s="1" t="s">
        <v>889</v>
      </c>
      <c r="B820" t="s">
        <v>90</v>
      </c>
      <c r="C820" t="s">
        <v>27</v>
      </c>
      <c r="D820" t="s">
        <v>28</v>
      </c>
      <c r="E820" t="s">
        <v>63</v>
      </c>
      <c r="F820" t="s">
        <v>64</v>
      </c>
      <c r="G820" t="s">
        <v>60</v>
      </c>
      <c r="H820" t="s">
        <v>32</v>
      </c>
      <c r="I820" t="s">
        <v>33</v>
      </c>
      <c r="J820" s="2">
        <v>45232</v>
      </c>
      <c r="K820" s="2">
        <v>45233</v>
      </c>
      <c r="L820" s="2">
        <v>45242</v>
      </c>
      <c r="M820" s="2">
        <v>45244</v>
      </c>
      <c r="N820" s="2">
        <v>45251</v>
      </c>
      <c r="O820">
        <v>1</v>
      </c>
      <c r="P820">
        <v>1</v>
      </c>
      <c r="Q820">
        <v>1</v>
      </c>
      <c r="R820">
        <v>0</v>
      </c>
      <c r="S820">
        <v>0</v>
      </c>
      <c r="T820" t="s">
        <v>49</v>
      </c>
      <c r="U820">
        <v>82</v>
      </c>
      <c r="W820">
        <v>1</v>
      </c>
      <c r="X820">
        <v>544461</v>
      </c>
      <c r="Y820" t="s">
        <v>127</v>
      </c>
    </row>
    <row r="821" spans="1:25">
      <c r="A821" s="1" t="s">
        <v>890</v>
      </c>
      <c r="B821" t="s">
        <v>70</v>
      </c>
      <c r="C821" t="s">
        <v>78</v>
      </c>
      <c r="D821" t="s">
        <v>44</v>
      </c>
      <c r="E821" t="s">
        <v>29</v>
      </c>
      <c r="F821" t="s">
        <v>64</v>
      </c>
      <c r="G821" t="s">
        <v>39</v>
      </c>
      <c r="H821" t="s">
        <v>56</v>
      </c>
      <c r="I821" t="s">
        <v>41</v>
      </c>
      <c r="J821" s="2">
        <v>45089</v>
      </c>
      <c r="K821" s="2">
        <v>45094</v>
      </c>
      <c r="L821" s="2">
        <v>45097</v>
      </c>
      <c r="M821" s="2">
        <v>45100</v>
      </c>
      <c r="N821" s="2">
        <v>45115</v>
      </c>
      <c r="O821">
        <v>0</v>
      </c>
      <c r="P821">
        <v>0</v>
      </c>
      <c r="Q821">
        <v>0</v>
      </c>
      <c r="R821">
        <v>0</v>
      </c>
      <c r="S821">
        <v>1</v>
      </c>
      <c r="T821" t="s">
        <v>74</v>
      </c>
      <c r="U821">
        <v>99</v>
      </c>
      <c r="W821">
        <v>7</v>
      </c>
    </row>
    <row r="822" spans="1:25">
      <c r="A822" s="1" t="s">
        <v>891</v>
      </c>
      <c r="B822" t="s">
        <v>58</v>
      </c>
      <c r="C822" t="s">
        <v>71</v>
      </c>
      <c r="D822" t="s">
        <v>73</v>
      </c>
      <c r="E822" t="s">
        <v>63</v>
      </c>
      <c r="F822" t="s">
        <v>30</v>
      </c>
      <c r="G822" t="s">
        <v>45</v>
      </c>
      <c r="H822" t="s">
        <v>56</v>
      </c>
      <c r="I822" t="s">
        <v>41</v>
      </c>
      <c r="J822" s="2">
        <v>45314</v>
      </c>
      <c r="K822" s="2">
        <v>45317</v>
      </c>
      <c r="L822" s="2">
        <v>45324</v>
      </c>
      <c r="M822" s="2">
        <v>45331</v>
      </c>
      <c r="N822" s="2">
        <v>45332</v>
      </c>
      <c r="O822">
        <v>1</v>
      </c>
      <c r="P822">
        <v>1</v>
      </c>
      <c r="Q822">
        <v>1</v>
      </c>
      <c r="R822">
        <v>0</v>
      </c>
      <c r="S822">
        <v>0</v>
      </c>
      <c r="T822" t="s">
        <v>49</v>
      </c>
      <c r="U822">
        <v>93</v>
      </c>
      <c r="W822">
        <v>6</v>
      </c>
      <c r="X822">
        <v>1142130</v>
      </c>
      <c r="Y822" t="s">
        <v>87</v>
      </c>
    </row>
    <row r="823" spans="1:25">
      <c r="A823" s="1" t="s">
        <v>892</v>
      </c>
      <c r="B823" t="s">
        <v>26</v>
      </c>
      <c r="C823" t="s">
        <v>27</v>
      </c>
      <c r="D823" t="s">
        <v>44</v>
      </c>
      <c r="E823" t="s">
        <v>66</v>
      </c>
      <c r="F823" t="s">
        <v>38</v>
      </c>
      <c r="G823" t="s">
        <v>60</v>
      </c>
      <c r="H823" t="s">
        <v>56</v>
      </c>
      <c r="I823" t="s">
        <v>41</v>
      </c>
      <c r="J823" s="2">
        <v>45337</v>
      </c>
      <c r="K823" s="2">
        <v>45338</v>
      </c>
      <c r="L823" s="2">
        <v>45346</v>
      </c>
      <c r="M823" s="2">
        <v>45353</v>
      </c>
      <c r="N823" s="2">
        <v>45362</v>
      </c>
      <c r="O823">
        <v>1</v>
      </c>
      <c r="P823">
        <v>1</v>
      </c>
      <c r="Q823">
        <v>0</v>
      </c>
      <c r="R823">
        <v>0</v>
      </c>
      <c r="S823">
        <v>0</v>
      </c>
      <c r="T823" t="s">
        <v>34</v>
      </c>
      <c r="U823">
        <v>99</v>
      </c>
      <c r="W823">
        <v>0</v>
      </c>
    </row>
    <row r="824" spans="1:25">
      <c r="A824" s="1" t="s">
        <v>893</v>
      </c>
      <c r="B824" t="s">
        <v>70</v>
      </c>
      <c r="C824" t="s">
        <v>47</v>
      </c>
      <c r="D824" t="s">
        <v>28</v>
      </c>
      <c r="E824" t="s">
        <v>29</v>
      </c>
      <c r="F824" t="s">
        <v>38</v>
      </c>
      <c r="G824" t="s">
        <v>39</v>
      </c>
      <c r="H824" t="s">
        <v>40</v>
      </c>
      <c r="I824" t="s">
        <v>41</v>
      </c>
      <c r="J824" s="2">
        <v>45233</v>
      </c>
      <c r="K824" s="2">
        <v>45236</v>
      </c>
      <c r="L824" s="2">
        <v>45239</v>
      </c>
      <c r="M824" s="2">
        <v>45245</v>
      </c>
      <c r="N824" s="2">
        <v>45259</v>
      </c>
      <c r="O824">
        <v>1</v>
      </c>
      <c r="P824">
        <v>1</v>
      </c>
      <c r="Q824">
        <v>1</v>
      </c>
      <c r="R824">
        <v>1</v>
      </c>
      <c r="S824">
        <v>0</v>
      </c>
      <c r="T824" t="s">
        <v>61</v>
      </c>
      <c r="U824">
        <v>94</v>
      </c>
      <c r="V824">
        <v>26</v>
      </c>
      <c r="W824">
        <v>9</v>
      </c>
      <c r="X824">
        <v>2527657</v>
      </c>
    </row>
    <row r="825" spans="1:25">
      <c r="A825" s="1" t="s">
        <v>894</v>
      </c>
      <c r="B825" t="s">
        <v>70</v>
      </c>
      <c r="C825" t="s">
        <v>27</v>
      </c>
      <c r="D825" t="s">
        <v>59</v>
      </c>
      <c r="E825" t="s">
        <v>54</v>
      </c>
      <c r="F825" t="s">
        <v>38</v>
      </c>
      <c r="G825" t="s">
        <v>31</v>
      </c>
      <c r="H825" t="s">
        <v>40</v>
      </c>
      <c r="I825" t="s">
        <v>33</v>
      </c>
      <c r="J825" s="2">
        <v>45164</v>
      </c>
      <c r="K825" s="2">
        <v>45166</v>
      </c>
      <c r="L825" s="2">
        <v>45173</v>
      </c>
      <c r="M825" s="2">
        <v>45179</v>
      </c>
      <c r="N825" s="2">
        <v>45202</v>
      </c>
      <c r="O825">
        <v>1</v>
      </c>
      <c r="P825">
        <v>0</v>
      </c>
      <c r="Q825">
        <v>0</v>
      </c>
      <c r="R825">
        <v>0</v>
      </c>
      <c r="S825">
        <v>0</v>
      </c>
      <c r="T825" t="s">
        <v>34</v>
      </c>
      <c r="U825">
        <v>79</v>
      </c>
      <c r="W825">
        <v>1</v>
      </c>
    </row>
    <row r="826" spans="1:25">
      <c r="A826" s="1" t="s">
        <v>895</v>
      </c>
      <c r="B826" t="s">
        <v>70</v>
      </c>
      <c r="C826" t="s">
        <v>78</v>
      </c>
      <c r="D826" t="s">
        <v>44</v>
      </c>
      <c r="E826" t="s">
        <v>54</v>
      </c>
      <c r="F826" t="s">
        <v>30</v>
      </c>
      <c r="G826" t="s">
        <v>55</v>
      </c>
      <c r="H826" t="s">
        <v>56</v>
      </c>
      <c r="I826" t="s">
        <v>33</v>
      </c>
      <c r="J826" s="2">
        <v>45404</v>
      </c>
      <c r="K826" s="2">
        <v>45409</v>
      </c>
      <c r="L826" s="2">
        <v>45418</v>
      </c>
      <c r="M826" s="2">
        <v>45424</v>
      </c>
      <c r="N826" s="2">
        <v>45435</v>
      </c>
      <c r="O826">
        <v>1</v>
      </c>
      <c r="P826">
        <v>1</v>
      </c>
      <c r="Q826">
        <v>0</v>
      </c>
      <c r="R826">
        <v>0</v>
      </c>
      <c r="S826">
        <v>0</v>
      </c>
      <c r="T826" t="s">
        <v>34</v>
      </c>
      <c r="U826">
        <v>94</v>
      </c>
      <c r="W826">
        <v>7</v>
      </c>
    </row>
    <row r="827" spans="1:25">
      <c r="A827" s="1" t="s">
        <v>896</v>
      </c>
      <c r="B827" t="s">
        <v>43</v>
      </c>
      <c r="C827" t="s">
        <v>37</v>
      </c>
      <c r="D827" t="s">
        <v>59</v>
      </c>
      <c r="E827" t="s">
        <v>29</v>
      </c>
      <c r="F827" t="s">
        <v>38</v>
      </c>
      <c r="G827" t="s">
        <v>39</v>
      </c>
      <c r="H827" t="s">
        <v>56</v>
      </c>
      <c r="I827" t="s">
        <v>41</v>
      </c>
      <c r="J827" s="2">
        <v>45324</v>
      </c>
      <c r="K827" s="2">
        <v>45328</v>
      </c>
      <c r="L827" s="2">
        <v>45333</v>
      </c>
      <c r="M827" s="2">
        <v>45337</v>
      </c>
      <c r="N827" s="2">
        <v>45347</v>
      </c>
      <c r="O827">
        <v>1</v>
      </c>
      <c r="P827">
        <v>0</v>
      </c>
      <c r="Q827">
        <v>0</v>
      </c>
      <c r="R827">
        <v>0</v>
      </c>
      <c r="S827">
        <v>0</v>
      </c>
      <c r="T827" t="s">
        <v>34</v>
      </c>
      <c r="U827">
        <v>72</v>
      </c>
      <c r="W827">
        <v>2</v>
      </c>
    </row>
    <row r="828" spans="1:25">
      <c r="A828" s="1" t="s">
        <v>897</v>
      </c>
      <c r="B828" t="s">
        <v>58</v>
      </c>
      <c r="C828" t="s">
        <v>78</v>
      </c>
      <c r="D828" t="s">
        <v>73</v>
      </c>
      <c r="E828" t="s">
        <v>63</v>
      </c>
      <c r="F828" t="s">
        <v>30</v>
      </c>
      <c r="G828" t="s">
        <v>55</v>
      </c>
      <c r="H828" t="s">
        <v>32</v>
      </c>
      <c r="I828" t="s">
        <v>41</v>
      </c>
      <c r="J828" s="2">
        <v>45379</v>
      </c>
      <c r="K828" s="2">
        <v>45383</v>
      </c>
      <c r="L828" s="2">
        <v>45389</v>
      </c>
      <c r="M828" s="2">
        <v>45391</v>
      </c>
      <c r="N828" s="2">
        <v>45398</v>
      </c>
      <c r="O828">
        <v>1</v>
      </c>
      <c r="P828">
        <v>1</v>
      </c>
      <c r="Q828">
        <v>1</v>
      </c>
      <c r="R828">
        <v>0</v>
      </c>
      <c r="S828">
        <v>1</v>
      </c>
      <c r="T828" t="s">
        <v>49</v>
      </c>
      <c r="U828">
        <v>46</v>
      </c>
      <c r="W828">
        <v>8</v>
      </c>
      <c r="X828">
        <v>1999829</v>
      </c>
      <c r="Y828" t="s">
        <v>68</v>
      </c>
    </row>
    <row r="829" spans="1:25">
      <c r="A829" s="1" t="s">
        <v>898</v>
      </c>
      <c r="B829" t="s">
        <v>70</v>
      </c>
      <c r="C829" t="s">
        <v>78</v>
      </c>
      <c r="D829" t="s">
        <v>59</v>
      </c>
      <c r="E829" t="s">
        <v>29</v>
      </c>
      <c r="F829" t="s">
        <v>48</v>
      </c>
      <c r="G829" t="s">
        <v>55</v>
      </c>
      <c r="H829" t="s">
        <v>56</v>
      </c>
      <c r="I829" t="s">
        <v>41</v>
      </c>
      <c r="J829" s="2">
        <v>45053</v>
      </c>
      <c r="K829" s="2">
        <v>45058</v>
      </c>
      <c r="L829" s="2">
        <v>45068</v>
      </c>
      <c r="M829" s="2">
        <v>45071</v>
      </c>
      <c r="N829" s="2">
        <v>45093</v>
      </c>
      <c r="O829">
        <v>1</v>
      </c>
      <c r="P829">
        <v>1</v>
      </c>
      <c r="Q829">
        <v>0</v>
      </c>
      <c r="R829">
        <v>0</v>
      </c>
      <c r="S829">
        <v>0</v>
      </c>
      <c r="T829" t="s">
        <v>34</v>
      </c>
      <c r="U829">
        <v>100</v>
      </c>
      <c r="W829">
        <v>9</v>
      </c>
    </row>
    <row r="830" spans="1:25">
      <c r="A830" s="1" t="s">
        <v>899</v>
      </c>
      <c r="B830" t="s">
        <v>26</v>
      </c>
      <c r="C830" t="s">
        <v>37</v>
      </c>
      <c r="D830" t="s">
        <v>44</v>
      </c>
      <c r="E830" t="s">
        <v>54</v>
      </c>
      <c r="F830" t="s">
        <v>67</v>
      </c>
      <c r="G830" t="s">
        <v>55</v>
      </c>
      <c r="H830" t="s">
        <v>56</v>
      </c>
      <c r="I830" t="s">
        <v>33</v>
      </c>
      <c r="J830" s="2">
        <v>45414</v>
      </c>
      <c r="K830" s="2">
        <v>45419</v>
      </c>
      <c r="L830" s="2">
        <v>45423</v>
      </c>
      <c r="M830" s="2">
        <v>45428</v>
      </c>
      <c r="N830" s="2">
        <v>45428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74</v>
      </c>
      <c r="U830">
        <v>70</v>
      </c>
      <c r="W830">
        <v>2</v>
      </c>
    </row>
    <row r="831" spans="1:25">
      <c r="A831" s="1" t="s">
        <v>900</v>
      </c>
      <c r="B831" t="s">
        <v>26</v>
      </c>
      <c r="C831" t="s">
        <v>37</v>
      </c>
      <c r="D831" t="s">
        <v>59</v>
      </c>
      <c r="E831" t="s">
        <v>66</v>
      </c>
      <c r="F831" t="s">
        <v>76</v>
      </c>
      <c r="G831" t="s">
        <v>39</v>
      </c>
      <c r="H831" t="s">
        <v>32</v>
      </c>
      <c r="I831" t="s">
        <v>33</v>
      </c>
      <c r="J831" s="2">
        <v>45198</v>
      </c>
      <c r="K831" s="2">
        <v>45203</v>
      </c>
      <c r="L831" s="2">
        <v>45206</v>
      </c>
      <c r="M831" s="2">
        <v>45211</v>
      </c>
      <c r="N831" s="2">
        <v>45219</v>
      </c>
      <c r="O831">
        <v>1</v>
      </c>
      <c r="P831">
        <v>1</v>
      </c>
      <c r="Q831">
        <v>1</v>
      </c>
      <c r="R831">
        <v>1</v>
      </c>
      <c r="S831">
        <v>0</v>
      </c>
      <c r="T831" t="s">
        <v>61</v>
      </c>
      <c r="U831">
        <v>92</v>
      </c>
      <c r="V831">
        <v>21</v>
      </c>
      <c r="W831">
        <v>3</v>
      </c>
      <c r="X831">
        <v>561485</v>
      </c>
    </row>
    <row r="832" spans="1:25">
      <c r="A832" s="1" t="s">
        <v>901</v>
      </c>
      <c r="B832" t="s">
        <v>26</v>
      </c>
      <c r="C832" t="s">
        <v>78</v>
      </c>
      <c r="D832" t="s">
        <v>52</v>
      </c>
      <c r="E832" t="s">
        <v>54</v>
      </c>
      <c r="F832" t="s">
        <v>30</v>
      </c>
      <c r="G832" t="s">
        <v>45</v>
      </c>
      <c r="H832" t="s">
        <v>56</v>
      </c>
      <c r="I832" t="s">
        <v>41</v>
      </c>
      <c r="J832" s="2">
        <v>45210</v>
      </c>
      <c r="K832" s="2">
        <v>45213</v>
      </c>
      <c r="L832" s="2">
        <v>45219</v>
      </c>
      <c r="M832" s="2">
        <v>45222</v>
      </c>
      <c r="N832" s="2">
        <v>45229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74</v>
      </c>
      <c r="U832">
        <v>56</v>
      </c>
      <c r="W832">
        <v>7</v>
      </c>
    </row>
    <row r="833" spans="1:25">
      <c r="A833" s="1" t="s">
        <v>902</v>
      </c>
      <c r="B833" t="s">
        <v>26</v>
      </c>
      <c r="C833" t="s">
        <v>37</v>
      </c>
      <c r="D833" t="s">
        <v>59</v>
      </c>
      <c r="E833" t="s">
        <v>54</v>
      </c>
      <c r="F833" t="s">
        <v>76</v>
      </c>
      <c r="G833" t="s">
        <v>39</v>
      </c>
      <c r="H833" t="s">
        <v>56</v>
      </c>
      <c r="I833" t="s">
        <v>41</v>
      </c>
      <c r="J833" s="2">
        <v>45036</v>
      </c>
      <c r="K833" s="2">
        <v>45040</v>
      </c>
      <c r="L833" s="2">
        <v>45048</v>
      </c>
      <c r="M833" s="2">
        <v>45055</v>
      </c>
      <c r="N833" s="2">
        <v>45061</v>
      </c>
      <c r="O833">
        <v>1</v>
      </c>
      <c r="P833">
        <v>1</v>
      </c>
      <c r="Q833">
        <v>1</v>
      </c>
      <c r="R833">
        <v>1</v>
      </c>
      <c r="S833">
        <v>0</v>
      </c>
      <c r="T833" t="s">
        <v>61</v>
      </c>
      <c r="U833">
        <v>86</v>
      </c>
      <c r="V833">
        <v>25</v>
      </c>
      <c r="W833">
        <v>3</v>
      </c>
      <c r="X833">
        <v>863909</v>
      </c>
    </row>
    <row r="834" spans="1:25">
      <c r="A834" s="1" t="s">
        <v>903</v>
      </c>
      <c r="B834" t="s">
        <v>90</v>
      </c>
      <c r="C834" t="s">
        <v>71</v>
      </c>
      <c r="D834" t="s">
        <v>59</v>
      </c>
      <c r="E834" t="s">
        <v>29</v>
      </c>
      <c r="F834" t="s">
        <v>48</v>
      </c>
      <c r="G834" t="s">
        <v>31</v>
      </c>
      <c r="H834" t="s">
        <v>40</v>
      </c>
      <c r="I834" t="s">
        <v>33</v>
      </c>
      <c r="J834" s="2">
        <v>45450</v>
      </c>
      <c r="K834" s="2">
        <v>45454</v>
      </c>
      <c r="L834" s="2">
        <v>45460</v>
      </c>
      <c r="M834" s="2">
        <v>45467</v>
      </c>
      <c r="N834" s="2">
        <v>45471</v>
      </c>
      <c r="O834">
        <v>1</v>
      </c>
      <c r="P834">
        <v>1</v>
      </c>
      <c r="Q834">
        <v>1</v>
      </c>
      <c r="R834">
        <v>1</v>
      </c>
      <c r="S834">
        <v>0</v>
      </c>
      <c r="T834" t="s">
        <v>61</v>
      </c>
      <c r="U834">
        <v>90</v>
      </c>
      <c r="V834">
        <v>21</v>
      </c>
      <c r="W834">
        <v>4</v>
      </c>
      <c r="X834">
        <v>1084714</v>
      </c>
    </row>
    <row r="835" spans="1:25">
      <c r="A835" s="1" t="s">
        <v>904</v>
      </c>
      <c r="B835" t="s">
        <v>90</v>
      </c>
      <c r="C835" t="s">
        <v>47</v>
      </c>
      <c r="D835" t="s">
        <v>52</v>
      </c>
      <c r="E835" t="s">
        <v>63</v>
      </c>
      <c r="F835" t="s">
        <v>48</v>
      </c>
      <c r="G835" t="s">
        <v>45</v>
      </c>
      <c r="H835" t="s">
        <v>40</v>
      </c>
      <c r="I835" t="s">
        <v>41</v>
      </c>
      <c r="J835" s="2">
        <v>44976</v>
      </c>
      <c r="K835" s="2">
        <v>44978</v>
      </c>
      <c r="L835" s="2">
        <v>44983</v>
      </c>
      <c r="M835" s="2">
        <v>44986</v>
      </c>
      <c r="N835" s="2">
        <v>44998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74</v>
      </c>
      <c r="U835">
        <v>78</v>
      </c>
      <c r="W835">
        <v>8</v>
      </c>
    </row>
    <row r="836" spans="1:25">
      <c r="A836" s="1" t="s">
        <v>905</v>
      </c>
      <c r="B836" t="s">
        <v>36</v>
      </c>
      <c r="C836" t="s">
        <v>27</v>
      </c>
      <c r="D836" t="s">
        <v>44</v>
      </c>
      <c r="E836" t="s">
        <v>29</v>
      </c>
      <c r="F836" t="s">
        <v>76</v>
      </c>
      <c r="G836" t="s">
        <v>31</v>
      </c>
      <c r="H836" t="s">
        <v>40</v>
      </c>
      <c r="I836" t="s">
        <v>41</v>
      </c>
      <c r="J836" s="2">
        <v>45148</v>
      </c>
      <c r="K836" s="2">
        <v>45153</v>
      </c>
      <c r="L836" s="2">
        <v>45158</v>
      </c>
      <c r="M836" s="2">
        <v>45165</v>
      </c>
      <c r="N836" s="2">
        <v>45167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74</v>
      </c>
      <c r="U836">
        <v>54</v>
      </c>
      <c r="W836">
        <v>1</v>
      </c>
    </row>
    <row r="837" spans="1:25">
      <c r="A837" s="1" t="s">
        <v>906</v>
      </c>
      <c r="B837" t="s">
        <v>70</v>
      </c>
      <c r="C837" t="s">
        <v>71</v>
      </c>
      <c r="D837" t="s">
        <v>44</v>
      </c>
      <c r="E837" t="s">
        <v>29</v>
      </c>
      <c r="F837" t="s">
        <v>67</v>
      </c>
      <c r="G837" t="s">
        <v>45</v>
      </c>
      <c r="H837" t="s">
        <v>32</v>
      </c>
      <c r="I837" t="s">
        <v>41</v>
      </c>
      <c r="J837" s="2">
        <v>45166</v>
      </c>
      <c r="K837" s="2">
        <v>45169</v>
      </c>
      <c r="L837" s="2">
        <v>45175</v>
      </c>
      <c r="M837" s="2">
        <v>45180</v>
      </c>
      <c r="N837" s="2">
        <v>45186</v>
      </c>
      <c r="O837">
        <v>1</v>
      </c>
      <c r="P837">
        <v>0</v>
      </c>
      <c r="Q837">
        <v>0</v>
      </c>
      <c r="R837">
        <v>0</v>
      </c>
      <c r="S837">
        <v>0</v>
      </c>
      <c r="T837" t="s">
        <v>34</v>
      </c>
      <c r="U837">
        <v>52</v>
      </c>
      <c r="W837">
        <v>3</v>
      </c>
    </row>
    <row r="838" spans="1:25">
      <c r="A838" s="1" t="s">
        <v>907</v>
      </c>
      <c r="B838" t="s">
        <v>70</v>
      </c>
      <c r="C838" t="s">
        <v>37</v>
      </c>
      <c r="D838" t="s">
        <v>59</v>
      </c>
      <c r="E838" t="s">
        <v>54</v>
      </c>
      <c r="F838" t="s">
        <v>64</v>
      </c>
      <c r="G838" t="s">
        <v>39</v>
      </c>
      <c r="H838" t="s">
        <v>56</v>
      </c>
      <c r="I838" t="s">
        <v>41</v>
      </c>
      <c r="J838" s="2">
        <v>45261</v>
      </c>
      <c r="K838" s="2">
        <v>45263</v>
      </c>
      <c r="L838" s="2">
        <v>45273</v>
      </c>
      <c r="M838" s="2">
        <v>45275</v>
      </c>
      <c r="N838" s="2">
        <v>45283</v>
      </c>
      <c r="O838">
        <v>1</v>
      </c>
      <c r="P838">
        <v>1</v>
      </c>
      <c r="Q838">
        <v>1</v>
      </c>
      <c r="R838">
        <v>0</v>
      </c>
      <c r="S838">
        <v>1</v>
      </c>
      <c r="T838" t="s">
        <v>49</v>
      </c>
      <c r="U838">
        <v>45</v>
      </c>
      <c r="W838">
        <v>2</v>
      </c>
      <c r="X838">
        <v>647294</v>
      </c>
      <c r="Y838" t="s">
        <v>80</v>
      </c>
    </row>
    <row r="839" spans="1:25">
      <c r="A839" s="1" t="s">
        <v>908</v>
      </c>
      <c r="B839" t="s">
        <v>26</v>
      </c>
      <c r="C839" t="s">
        <v>37</v>
      </c>
      <c r="D839" t="s">
        <v>44</v>
      </c>
      <c r="E839" t="s">
        <v>29</v>
      </c>
      <c r="F839" t="s">
        <v>30</v>
      </c>
      <c r="G839" t="s">
        <v>39</v>
      </c>
      <c r="H839" t="s">
        <v>56</v>
      </c>
      <c r="I839" t="s">
        <v>33</v>
      </c>
      <c r="J839" s="2">
        <v>45063</v>
      </c>
      <c r="K839" s="2">
        <v>45068</v>
      </c>
      <c r="L839" s="2">
        <v>45077</v>
      </c>
      <c r="M839" s="2">
        <v>45084</v>
      </c>
      <c r="N839" s="2">
        <v>45086</v>
      </c>
      <c r="O839">
        <v>1</v>
      </c>
      <c r="P839">
        <v>1</v>
      </c>
      <c r="Q839">
        <v>0</v>
      </c>
      <c r="R839">
        <v>0</v>
      </c>
      <c r="S839">
        <v>0</v>
      </c>
      <c r="T839" t="s">
        <v>34</v>
      </c>
      <c r="U839">
        <v>86</v>
      </c>
      <c r="W839">
        <v>3</v>
      </c>
    </row>
    <row r="840" spans="1:25">
      <c r="A840" s="1" t="s">
        <v>909</v>
      </c>
      <c r="B840" t="s">
        <v>36</v>
      </c>
      <c r="C840" t="s">
        <v>37</v>
      </c>
      <c r="D840" t="s">
        <v>44</v>
      </c>
      <c r="E840" t="s">
        <v>54</v>
      </c>
      <c r="F840" t="s">
        <v>38</v>
      </c>
      <c r="G840" t="s">
        <v>45</v>
      </c>
      <c r="H840" t="s">
        <v>56</v>
      </c>
      <c r="I840" t="s">
        <v>41</v>
      </c>
      <c r="J840" s="2">
        <v>45452</v>
      </c>
      <c r="K840" s="2">
        <v>45454</v>
      </c>
      <c r="L840" s="2">
        <v>45464</v>
      </c>
      <c r="M840" s="2">
        <v>45466</v>
      </c>
      <c r="N840" s="2">
        <v>45470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74</v>
      </c>
      <c r="U840">
        <v>48</v>
      </c>
      <c r="W840">
        <v>3</v>
      </c>
    </row>
    <row r="841" spans="1:25">
      <c r="A841" s="1" t="s">
        <v>910</v>
      </c>
      <c r="B841" t="s">
        <v>43</v>
      </c>
      <c r="C841" t="s">
        <v>71</v>
      </c>
      <c r="D841" t="s">
        <v>28</v>
      </c>
      <c r="E841" t="s">
        <v>63</v>
      </c>
      <c r="F841" t="s">
        <v>30</v>
      </c>
      <c r="G841" t="s">
        <v>31</v>
      </c>
      <c r="H841" t="s">
        <v>40</v>
      </c>
      <c r="I841" t="s">
        <v>33</v>
      </c>
      <c r="J841" s="2">
        <v>45028</v>
      </c>
      <c r="K841" s="2">
        <v>45031</v>
      </c>
      <c r="L841" s="2">
        <v>45040</v>
      </c>
      <c r="M841" s="2">
        <v>45046</v>
      </c>
      <c r="N841" s="2">
        <v>45052</v>
      </c>
      <c r="O841">
        <v>1</v>
      </c>
      <c r="P841">
        <v>1</v>
      </c>
      <c r="Q841">
        <v>1</v>
      </c>
      <c r="R841">
        <v>0</v>
      </c>
      <c r="S841">
        <v>0</v>
      </c>
      <c r="T841" t="s">
        <v>49</v>
      </c>
      <c r="U841">
        <v>98</v>
      </c>
      <c r="W841">
        <v>6</v>
      </c>
      <c r="X841">
        <v>1041136</v>
      </c>
      <c r="Y841" t="s">
        <v>127</v>
      </c>
    </row>
    <row r="842" spans="1:25">
      <c r="A842" s="1" t="s">
        <v>911</v>
      </c>
      <c r="B842" t="s">
        <v>70</v>
      </c>
      <c r="C842" t="s">
        <v>78</v>
      </c>
      <c r="D842" t="s">
        <v>59</v>
      </c>
      <c r="E842" t="s">
        <v>54</v>
      </c>
      <c r="F842" t="s">
        <v>48</v>
      </c>
      <c r="G842" t="s">
        <v>39</v>
      </c>
      <c r="H842" t="s">
        <v>32</v>
      </c>
      <c r="I842" t="s">
        <v>41</v>
      </c>
      <c r="J842" s="2">
        <v>45169</v>
      </c>
      <c r="K842" s="2">
        <v>45172</v>
      </c>
      <c r="L842" s="2">
        <v>45182</v>
      </c>
      <c r="M842" s="2">
        <v>45188</v>
      </c>
      <c r="N842" s="2">
        <v>45207</v>
      </c>
      <c r="O842">
        <v>1</v>
      </c>
      <c r="P842">
        <v>0</v>
      </c>
      <c r="Q842">
        <v>0</v>
      </c>
      <c r="R842">
        <v>0</v>
      </c>
      <c r="S842">
        <v>0</v>
      </c>
      <c r="T842" t="s">
        <v>34</v>
      </c>
      <c r="U842">
        <v>71</v>
      </c>
      <c r="W842">
        <v>6</v>
      </c>
    </row>
    <row r="843" spans="1:25">
      <c r="A843" s="1" t="s">
        <v>912</v>
      </c>
      <c r="B843" t="s">
        <v>70</v>
      </c>
      <c r="C843" t="s">
        <v>27</v>
      </c>
      <c r="D843" t="s">
        <v>28</v>
      </c>
      <c r="E843" t="s">
        <v>102</v>
      </c>
      <c r="F843" t="s">
        <v>30</v>
      </c>
      <c r="G843" t="s">
        <v>45</v>
      </c>
      <c r="H843" t="s">
        <v>40</v>
      </c>
      <c r="I843" t="s">
        <v>41</v>
      </c>
      <c r="J843" s="2">
        <v>44988</v>
      </c>
      <c r="K843" s="2">
        <v>44989</v>
      </c>
      <c r="L843" s="2">
        <v>44994</v>
      </c>
      <c r="M843" s="2">
        <v>44996</v>
      </c>
      <c r="N843" s="2">
        <v>45018</v>
      </c>
      <c r="O843">
        <v>1</v>
      </c>
      <c r="P843">
        <v>1</v>
      </c>
      <c r="Q843">
        <v>1</v>
      </c>
      <c r="R843">
        <v>1</v>
      </c>
      <c r="S843">
        <v>0</v>
      </c>
      <c r="T843" t="s">
        <v>61</v>
      </c>
      <c r="U843">
        <v>98</v>
      </c>
      <c r="V843">
        <v>30</v>
      </c>
      <c r="W843">
        <v>1</v>
      </c>
      <c r="X843">
        <v>540798</v>
      </c>
    </row>
    <row r="844" spans="1:25">
      <c r="A844" s="1" t="s">
        <v>913</v>
      </c>
      <c r="B844" t="s">
        <v>58</v>
      </c>
      <c r="C844" t="s">
        <v>71</v>
      </c>
      <c r="D844" t="s">
        <v>52</v>
      </c>
      <c r="E844" t="s">
        <v>66</v>
      </c>
      <c r="F844" t="s">
        <v>38</v>
      </c>
      <c r="G844" t="s">
        <v>45</v>
      </c>
      <c r="H844" t="s">
        <v>32</v>
      </c>
      <c r="I844" t="s">
        <v>41</v>
      </c>
      <c r="J844" s="2">
        <v>45090</v>
      </c>
      <c r="K844" s="2">
        <v>45095</v>
      </c>
      <c r="L844" s="2">
        <v>45101</v>
      </c>
      <c r="M844" s="2">
        <v>45107</v>
      </c>
      <c r="N844" s="2">
        <v>45110</v>
      </c>
      <c r="O844">
        <v>1</v>
      </c>
      <c r="P844">
        <v>0</v>
      </c>
      <c r="Q844">
        <v>0</v>
      </c>
      <c r="R844">
        <v>0</v>
      </c>
      <c r="S844">
        <v>0</v>
      </c>
      <c r="T844" t="s">
        <v>34</v>
      </c>
      <c r="U844">
        <v>48</v>
      </c>
      <c r="W844">
        <v>7</v>
      </c>
    </row>
    <row r="845" spans="1:25">
      <c r="A845" s="1" t="s">
        <v>914</v>
      </c>
      <c r="B845" t="s">
        <v>58</v>
      </c>
      <c r="C845" t="s">
        <v>78</v>
      </c>
      <c r="D845" t="s">
        <v>52</v>
      </c>
      <c r="E845" t="s">
        <v>63</v>
      </c>
      <c r="F845" t="s">
        <v>38</v>
      </c>
      <c r="G845" t="s">
        <v>55</v>
      </c>
      <c r="H845" t="s">
        <v>56</v>
      </c>
      <c r="I845" t="s">
        <v>41</v>
      </c>
      <c r="J845" s="2">
        <v>45453</v>
      </c>
      <c r="K845" s="2">
        <v>45458</v>
      </c>
      <c r="L845" s="2">
        <v>45466</v>
      </c>
      <c r="M845" s="2">
        <v>45473</v>
      </c>
      <c r="N845" s="2">
        <v>45463</v>
      </c>
      <c r="O845">
        <v>1</v>
      </c>
      <c r="P845">
        <v>1</v>
      </c>
      <c r="Q845">
        <v>0</v>
      </c>
      <c r="R845">
        <v>0</v>
      </c>
      <c r="S845">
        <v>0</v>
      </c>
      <c r="T845" t="s">
        <v>34</v>
      </c>
      <c r="U845">
        <v>54</v>
      </c>
      <c r="W845">
        <v>10</v>
      </c>
    </row>
    <row r="846" spans="1:25">
      <c r="A846" s="1" t="s">
        <v>915</v>
      </c>
      <c r="B846" t="s">
        <v>26</v>
      </c>
      <c r="C846" t="s">
        <v>71</v>
      </c>
      <c r="D846" t="s">
        <v>73</v>
      </c>
      <c r="E846" t="s">
        <v>54</v>
      </c>
      <c r="F846" t="s">
        <v>64</v>
      </c>
      <c r="G846" t="s">
        <v>60</v>
      </c>
      <c r="H846" t="s">
        <v>40</v>
      </c>
      <c r="I846" t="s">
        <v>33</v>
      </c>
      <c r="J846" s="2">
        <v>45123</v>
      </c>
      <c r="K846" s="2">
        <v>45126</v>
      </c>
      <c r="L846" s="2">
        <v>45134</v>
      </c>
      <c r="M846" s="2">
        <v>45141</v>
      </c>
      <c r="N846" s="2">
        <v>45146</v>
      </c>
      <c r="O846">
        <v>1</v>
      </c>
      <c r="P846">
        <v>1</v>
      </c>
      <c r="Q846">
        <v>1</v>
      </c>
      <c r="R846">
        <v>1</v>
      </c>
      <c r="S846">
        <v>0</v>
      </c>
      <c r="T846" t="s">
        <v>61</v>
      </c>
      <c r="U846">
        <v>91</v>
      </c>
      <c r="V846">
        <v>23</v>
      </c>
      <c r="W846">
        <v>6</v>
      </c>
      <c r="X846">
        <v>1484585</v>
      </c>
    </row>
    <row r="847" spans="1:25">
      <c r="A847" s="1" t="s">
        <v>916</v>
      </c>
      <c r="B847" t="s">
        <v>70</v>
      </c>
      <c r="C847" t="s">
        <v>78</v>
      </c>
      <c r="D847" t="s">
        <v>28</v>
      </c>
      <c r="E847" t="s">
        <v>102</v>
      </c>
      <c r="F847" t="s">
        <v>67</v>
      </c>
      <c r="G847" t="s">
        <v>55</v>
      </c>
      <c r="H847" t="s">
        <v>40</v>
      </c>
      <c r="I847" t="s">
        <v>33</v>
      </c>
      <c r="J847" s="2">
        <v>45376</v>
      </c>
      <c r="K847" s="2">
        <v>45377</v>
      </c>
      <c r="L847" s="2">
        <v>45385</v>
      </c>
      <c r="M847" s="2">
        <v>45392</v>
      </c>
      <c r="N847" s="2">
        <v>45401</v>
      </c>
      <c r="O847">
        <v>1</v>
      </c>
      <c r="P847">
        <v>1</v>
      </c>
      <c r="Q847">
        <v>1</v>
      </c>
      <c r="R847">
        <v>0</v>
      </c>
      <c r="S847">
        <v>0</v>
      </c>
      <c r="T847" t="s">
        <v>49</v>
      </c>
      <c r="U847">
        <v>71</v>
      </c>
      <c r="W847">
        <v>10</v>
      </c>
      <c r="X847">
        <v>2107789</v>
      </c>
      <c r="Y847" t="s">
        <v>80</v>
      </c>
    </row>
    <row r="848" spans="1:25">
      <c r="A848" s="1" t="s">
        <v>917</v>
      </c>
      <c r="B848" t="s">
        <v>36</v>
      </c>
      <c r="C848" t="s">
        <v>37</v>
      </c>
      <c r="D848" t="s">
        <v>28</v>
      </c>
      <c r="E848" t="s">
        <v>63</v>
      </c>
      <c r="F848" t="s">
        <v>64</v>
      </c>
      <c r="G848" t="s">
        <v>60</v>
      </c>
      <c r="H848" t="s">
        <v>40</v>
      </c>
      <c r="I848" t="s">
        <v>41</v>
      </c>
      <c r="J848" s="2">
        <v>45202</v>
      </c>
      <c r="K848" s="2">
        <v>45206</v>
      </c>
      <c r="L848" s="2">
        <v>45214</v>
      </c>
      <c r="M848" s="2">
        <v>45218</v>
      </c>
      <c r="N848" s="2">
        <v>45222</v>
      </c>
      <c r="O848">
        <v>0</v>
      </c>
      <c r="P848">
        <v>0</v>
      </c>
      <c r="Q848">
        <v>0</v>
      </c>
      <c r="R848">
        <v>0</v>
      </c>
      <c r="S848">
        <v>1</v>
      </c>
      <c r="T848" t="s">
        <v>74</v>
      </c>
      <c r="U848">
        <v>83</v>
      </c>
      <c r="W848">
        <v>1</v>
      </c>
    </row>
    <row r="849" spans="1:25">
      <c r="A849" s="1" t="s">
        <v>918</v>
      </c>
      <c r="B849" t="s">
        <v>58</v>
      </c>
      <c r="C849" t="s">
        <v>71</v>
      </c>
      <c r="D849" t="s">
        <v>59</v>
      </c>
      <c r="E849" t="s">
        <v>63</v>
      </c>
      <c r="F849" t="s">
        <v>76</v>
      </c>
      <c r="G849" t="s">
        <v>45</v>
      </c>
      <c r="H849" t="s">
        <v>40</v>
      </c>
      <c r="I849" t="s">
        <v>33</v>
      </c>
      <c r="J849" s="2">
        <v>45369</v>
      </c>
      <c r="K849" s="2">
        <v>45372</v>
      </c>
      <c r="L849" s="2">
        <v>45377</v>
      </c>
      <c r="M849" s="2">
        <v>45382</v>
      </c>
      <c r="N849" s="2">
        <v>45379</v>
      </c>
      <c r="O849">
        <v>1</v>
      </c>
      <c r="P849">
        <v>1</v>
      </c>
      <c r="Q849">
        <v>1</v>
      </c>
      <c r="R849">
        <v>0</v>
      </c>
      <c r="S849">
        <v>0</v>
      </c>
      <c r="T849" t="s">
        <v>49</v>
      </c>
      <c r="U849">
        <v>62</v>
      </c>
      <c r="W849">
        <v>3</v>
      </c>
      <c r="X849">
        <v>1126254</v>
      </c>
      <c r="Y849" t="s">
        <v>127</v>
      </c>
    </row>
    <row r="850" spans="1:25">
      <c r="A850" s="1" t="s">
        <v>919</v>
      </c>
      <c r="B850" t="s">
        <v>90</v>
      </c>
      <c r="C850" t="s">
        <v>47</v>
      </c>
      <c r="D850" t="s">
        <v>28</v>
      </c>
      <c r="E850" t="s">
        <v>66</v>
      </c>
      <c r="F850" t="s">
        <v>48</v>
      </c>
      <c r="G850" t="s">
        <v>39</v>
      </c>
      <c r="H850" t="s">
        <v>40</v>
      </c>
      <c r="I850" t="s">
        <v>41</v>
      </c>
      <c r="J850" s="2">
        <v>45303</v>
      </c>
      <c r="K850" s="2">
        <v>45305</v>
      </c>
      <c r="L850" s="2">
        <v>45313</v>
      </c>
      <c r="M850" s="2">
        <v>45318</v>
      </c>
      <c r="N850" s="2">
        <v>45321</v>
      </c>
      <c r="O850">
        <v>1</v>
      </c>
      <c r="P850">
        <v>1</v>
      </c>
      <c r="Q850">
        <v>0</v>
      </c>
      <c r="R850">
        <v>0</v>
      </c>
      <c r="S850">
        <v>0</v>
      </c>
      <c r="T850" t="s">
        <v>34</v>
      </c>
      <c r="U850">
        <v>81</v>
      </c>
      <c r="W850">
        <v>10</v>
      </c>
    </row>
    <row r="851" spans="1:25">
      <c r="A851" s="1" t="s">
        <v>920</v>
      </c>
      <c r="B851" t="s">
        <v>43</v>
      </c>
      <c r="C851" t="s">
        <v>27</v>
      </c>
      <c r="D851" t="s">
        <v>44</v>
      </c>
      <c r="E851" t="s">
        <v>63</v>
      </c>
      <c r="F851" t="s">
        <v>48</v>
      </c>
      <c r="G851" t="s">
        <v>39</v>
      </c>
      <c r="H851" t="s">
        <v>56</v>
      </c>
      <c r="I851" t="s">
        <v>41</v>
      </c>
      <c r="J851" s="2">
        <v>45135</v>
      </c>
      <c r="K851" s="2">
        <v>45140</v>
      </c>
      <c r="L851" s="2">
        <v>45145</v>
      </c>
      <c r="M851" s="2">
        <v>45149</v>
      </c>
      <c r="N851" s="2">
        <v>45159</v>
      </c>
      <c r="O851">
        <v>1</v>
      </c>
      <c r="P851">
        <v>0</v>
      </c>
      <c r="Q851">
        <v>0</v>
      </c>
      <c r="R851">
        <v>0</v>
      </c>
      <c r="S851">
        <v>0</v>
      </c>
      <c r="T851" t="s">
        <v>34</v>
      </c>
      <c r="U851">
        <v>61</v>
      </c>
      <c r="W851">
        <v>1</v>
      </c>
    </row>
    <row r="852" spans="1:25">
      <c r="A852" s="1" t="s">
        <v>921</v>
      </c>
      <c r="B852" t="s">
        <v>26</v>
      </c>
      <c r="C852" t="s">
        <v>47</v>
      </c>
      <c r="D852" t="s">
        <v>44</v>
      </c>
      <c r="E852" t="s">
        <v>54</v>
      </c>
      <c r="F852" t="s">
        <v>67</v>
      </c>
      <c r="G852" t="s">
        <v>45</v>
      </c>
      <c r="H852" t="s">
        <v>56</v>
      </c>
      <c r="I852" t="s">
        <v>33</v>
      </c>
      <c r="J852" s="2">
        <v>45464</v>
      </c>
      <c r="K852" s="2">
        <v>45465</v>
      </c>
      <c r="L852" s="2">
        <v>45469</v>
      </c>
      <c r="M852" s="2">
        <v>45474</v>
      </c>
      <c r="N852" s="2">
        <v>45479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74</v>
      </c>
      <c r="U852">
        <v>59</v>
      </c>
      <c r="W852">
        <v>13</v>
      </c>
    </row>
    <row r="853" spans="1:25">
      <c r="A853" s="1" t="s">
        <v>922</v>
      </c>
      <c r="B853" t="s">
        <v>43</v>
      </c>
      <c r="C853" t="s">
        <v>37</v>
      </c>
      <c r="D853" t="s">
        <v>44</v>
      </c>
      <c r="E853" t="s">
        <v>102</v>
      </c>
      <c r="F853" t="s">
        <v>67</v>
      </c>
      <c r="G853" t="s">
        <v>45</v>
      </c>
      <c r="H853" t="s">
        <v>32</v>
      </c>
      <c r="I853" t="s">
        <v>33</v>
      </c>
      <c r="J853" s="2">
        <v>45037</v>
      </c>
      <c r="K853" s="2">
        <v>45041</v>
      </c>
      <c r="L853" s="2">
        <v>45046</v>
      </c>
      <c r="M853" s="2">
        <v>45049</v>
      </c>
      <c r="N853" s="2">
        <v>45065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74</v>
      </c>
      <c r="U853">
        <v>53</v>
      </c>
      <c r="W853">
        <v>2</v>
      </c>
    </row>
    <row r="854" spans="1:25">
      <c r="A854" s="1" t="s">
        <v>923</v>
      </c>
      <c r="B854" t="s">
        <v>70</v>
      </c>
      <c r="C854" t="s">
        <v>37</v>
      </c>
      <c r="D854" t="s">
        <v>44</v>
      </c>
      <c r="E854" t="s">
        <v>54</v>
      </c>
      <c r="F854" t="s">
        <v>38</v>
      </c>
      <c r="G854" t="s">
        <v>55</v>
      </c>
      <c r="H854" t="s">
        <v>56</v>
      </c>
      <c r="I854" t="s">
        <v>41</v>
      </c>
      <c r="J854" s="2">
        <v>45042</v>
      </c>
      <c r="K854" s="2">
        <v>45046</v>
      </c>
      <c r="L854" s="2">
        <v>45051</v>
      </c>
      <c r="M854" s="2">
        <v>45054</v>
      </c>
      <c r="N854" s="2">
        <v>45075</v>
      </c>
      <c r="O854">
        <v>1</v>
      </c>
      <c r="P854">
        <v>1</v>
      </c>
      <c r="Q854">
        <v>1</v>
      </c>
      <c r="R854">
        <v>1</v>
      </c>
      <c r="S854">
        <v>0</v>
      </c>
      <c r="T854" t="s">
        <v>61</v>
      </c>
      <c r="U854">
        <v>78</v>
      </c>
      <c r="V854">
        <v>33</v>
      </c>
      <c r="W854">
        <v>4</v>
      </c>
      <c r="X854">
        <v>773135</v>
      </c>
    </row>
    <row r="855" spans="1:25">
      <c r="A855" s="1" t="s">
        <v>924</v>
      </c>
      <c r="B855" t="s">
        <v>26</v>
      </c>
      <c r="C855" t="s">
        <v>78</v>
      </c>
      <c r="D855" t="s">
        <v>59</v>
      </c>
      <c r="E855" t="s">
        <v>54</v>
      </c>
      <c r="F855" t="s">
        <v>67</v>
      </c>
      <c r="G855" t="s">
        <v>31</v>
      </c>
      <c r="H855" t="s">
        <v>32</v>
      </c>
      <c r="I855" t="s">
        <v>41</v>
      </c>
      <c r="J855" s="2">
        <v>45407</v>
      </c>
      <c r="K855" s="2">
        <v>45408</v>
      </c>
      <c r="L855" s="2">
        <v>45411</v>
      </c>
      <c r="M855" s="2">
        <v>45414</v>
      </c>
      <c r="N855" s="2">
        <v>45426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74</v>
      </c>
      <c r="U855">
        <v>45</v>
      </c>
      <c r="W855">
        <v>9</v>
      </c>
    </row>
    <row r="856" spans="1:25">
      <c r="A856" s="1" t="s">
        <v>925</v>
      </c>
      <c r="B856" t="s">
        <v>36</v>
      </c>
      <c r="C856" t="s">
        <v>71</v>
      </c>
      <c r="D856" t="s">
        <v>44</v>
      </c>
      <c r="E856" t="s">
        <v>66</v>
      </c>
      <c r="F856" t="s">
        <v>48</v>
      </c>
      <c r="G856" t="s">
        <v>39</v>
      </c>
      <c r="H856" t="s">
        <v>32</v>
      </c>
      <c r="I856" t="s">
        <v>33</v>
      </c>
      <c r="J856" s="2">
        <v>45124</v>
      </c>
      <c r="K856" s="2">
        <v>45127</v>
      </c>
      <c r="L856" s="2">
        <v>45137</v>
      </c>
      <c r="M856" s="2">
        <v>45140</v>
      </c>
      <c r="N856" s="2">
        <v>45146</v>
      </c>
      <c r="O856">
        <v>1</v>
      </c>
      <c r="P856">
        <v>1</v>
      </c>
      <c r="Q856">
        <v>1</v>
      </c>
      <c r="R856">
        <v>0</v>
      </c>
      <c r="S856">
        <v>0</v>
      </c>
      <c r="T856" t="s">
        <v>49</v>
      </c>
      <c r="U856">
        <v>63</v>
      </c>
      <c r="W856">
        <v>5</v>
      </c>
      <c r="X856">
        <v>1491511</v>
      </c>
      <c r="Y856" t="s">
        <v>127</v>
      </c>
    </row>
    <row r="857" spans="1:25">
      <c r="A857" s="1" t="s">
        <v>926</v>
      </c>
      <c r="B857" t="s">
        <v>70</v>
      </c>
      <c r="C857" t="s">
        <v>47</v>
      </c>
      <c r="D857" t="s">
        <v>59</v>
      </c>
      <c r="E857" t="s">
        <v>66</v>
      </c>
      <c r="F857" t="s">
        <v>30</v>
      </c>
      <c r="G857" t="s">
        <v>60</v>
      </c>
      <c r="H857" t="s">
        <v>32</v>
      </c>
      <c r="I857" t="s">
        <v>41</v>
      </c>
      <c r="J857" s="2">
        <v>45229</v>
      </c>
      <c r="K857" s="2">
        <v>45234</v>
      </c>
      <c r="L857" s="2">
        <v>45238</v>
      </c>
      <c r="M857" s="2">
        <v>45242</v>
      </c>
      <c r="N857" s="2">
        <v>45256</v>
      </c>
      <c r="O857">
        <v>1</v>
      </c>
      <c r="P857">
        <v>1</v>
      </c>
      <c r="Q857">
        <v>0</v>
      </c>
      <c r="R857">
        <v>0</v>
      </c>
      <c r="S857">
        <v>1</v>
      </c>
      <c r="T857" t="s">
        <v>34</v>
      </c>
      <c r="U857">
        <v>69</v>
      </c>
      <c r="W857">
        <v>9</v>
      </c>
    </row>
    <row r="858" spans="1:25">
      <c r="A858" s="1" t="s">
        <v>927</v>
      </c>
      <c r="B858" t="s">
        <v>58</v>
      </c>
      <c r="C858" t="s">
        <v>47</v>
      </c>
      <c r="D858" t="s">
        <v>73</v>
      </c>
      <c r="E858" t="s">
        <v>54</v>
      </c>
      <c r="F858" t="s">
        <v>38</v>
      </c>
      <c r="G858" t="s">
        <v>60</v>
      </c>
      <c r="H858" t="s">
        <v>32</v>
      </c>
      <c r="I858" t="s">
        <v>41</v>
      </c>
      <c r="J858" s="2">
        <v>44996</v>
      </c>
      <c r="K858" s="2">
        <v>45001</v>
      </c>
      <c r="L858" s="2">
        <v>45009</v>
      </c>
      <c r="M858" s="2">
        <v>45014</v>
      </c>
      <c r="N858" s="2">
        <v>45009</v>
      </c>
      <c r="O858">
        <v>1</v>
      </c>
      <c r="P858">
        <v>1</v>
      </c>
      <c r="Q858">
        <v>1</v>
      </c>
      <c r="R858">
        <v>0</v>
      </c>
      <c r="S858">
        <v>0</v>
      </c>
      <c r="T858" t="s">
        <v>49</v>
      </c>
      <c r="U858">
        <v>68</v>
      </c>
      <c r="W858">
        <v>11</v>
      </c>
      <c r="X858">
        <v>2970669</v>
      </c>
      <c r="Y858" t="s">
        <v>80</v>
      </c>
    </row>
    <row r="859" spans="1:25">
      <c r="A859" s="1" t="s">
        <v>928</v>
      </c>
      <c r="B859" t="s">
        <v>43</v>
      </c>
      <c r="C859" t="s">
        <v>71</v>
      </c>
      <c r="D859" t="s">
        <v>52</v>
      </c>
      <c r="E859" t="s">
        <v>29</v>
      </c>
      <c r="F859" t="s">
        <v>38</v>
      </c>
      <c r="G859" t="s">
        <v>55</v>
      </c>
      <c r="H859" t="s">
        <v>32</v>
      </c>
      <c r="I859" t="s">
        <v>33</v>
      </c>
      <c r="J859" s="2">
        <v>45334</v>
      </c>
      <c r="K859" s="2">
        <v>45339</v>
      </c>
      <c r="L859" s="2">
        <v>45348</v>
      </c>
      <c r="M859" s="2">
        <v>45350</v>
      </c>
      <c r="N859" s="2">
        <v>45356</v>
      </c>
      <c r="O859">
        <v>1</v>
      </c>
      <c r="P859">
        <v>0</v>
      </c>
      <c r="Q859">
        <v>0</v>
      </c>
      <c r="R859">
        <v>0</v>
      </c>
      <c r="S859">
        <v>0</v>
      </c>
      <c r="T859" t="s">
        <v>34</v>
      </c>
      <c r="U859">
        <v>52</v>
      </c>
      <c r="W859">
        <v>3</v>
      </c>
    </row>
    <row r="860" spans="1:25">
      <c r="A860" s="1" t="s">
        <v>929</v>
      </c>
      <c r="B860" t="s">
        <v>70</v>
      </c>
      <c r="C860" t="s">
        <v>47</v>
      </c>
      <c r="D860" t="s">
        <v>28</v>
      </c>
      <c r="E860" t="s">
        <v>29</v>
      </c>
      <c r="F860" t="s">
        <v>76</v>
      </c>
      <c r="G860" t="s">
        <v>55</v>
      </c>
      <c r="H860" t="s">
        <v>32</v>
      </c>
      <c r="I860" t="s">
        <v>33</v>
      </c>
      <c r="J860" s="2">
        <v>45240</v>
      </c>
      <c r="K860" s="2">
        <v>45243</v>
      </c>
      <c r="L860" s="2">
        <v>45248</v>
      </c>
      <c r="M860" s="2">
        <v>45254</v>
      </c>
      <c r="N860" s="2">
        <v>45269</v>
      </c>
      <c r="O860">
        <v>1</v>
      </c>
      <c r="P860">
        <v>1</v>
      </c>
      <c r="Q860">
        <v>1</v>
      </c>
      <c r="R860">
        <v>1</v>
      </c>
      <c r="S860">
        <v>0</v>
      </c>
      <c r="T860" t="s">
        <v>61</v>
      </c>
      <c r="U860">
        <v>53</v>
      </c>
      <c r="V860">
        <v>29</v>
      </c>
      <c r="W860">
        <v>12</v>
      </c>
      <c r="X860">
        <v>2369910</v>
      </c>
    </row>
    <row r="861" spans="1:25">
      <c r="A861" s="1" t="s">
        <v>930</v>
      </c>
      <c r="B861" t="s">
        <v>43</v>
      </c>
      <c r="C861" t="s">
        <v>71</v>
      </c>
      <c r="D861" t="s">
        <v>73</v>
      </c>
      <c r="E861" t="s">
        <v>54</v>
      </c>
      <c r="F861" t="s">
        <v>64</v>
      </c>
      <c r="G861" t="s">
        <v>60</v>
      </c>
      <c r="H861" t="s">
        <v>40</v>
      </c>
      <c r="I861" t="s">
        <v>33</v>
      </c>
      <c r="J861" s="2">
        <v>45374</v>
      </c>
      <c r="K861" s="2">
        <v>45375</v>
      </c>
      <c r="L861" s="2">
        <v>45379</v>
      </c>
      <c r="M861" s="2">
        <v>45381</v>
      </c>
      <c r="N861" s="2">
        <v>45395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74</v>
      </c>
      <c r="U861">
        <v>70</v>
      </c>
      <c r="W861">
        <v>5</v>
      </c>
    </row>
    <row r="862" spans="1:25">
      <c r="A862" s="1" t="s">
        <v>931</v>
      </c>
      <c r="B862" t="s">
        <v>26</v>
      </c>
      <c r="C862" t="s">
        <v>47</v>
      </c>
      <c r="D862" t="s">
        <v>44</v>
      </c>
      <c r="E862" t="s">
        <v>66</v>
      </c>
      <c r="F862" t="s">
        <v>67</v>
      </c>
      <c r="G862" t="s">
        <v>60</v>
      </c>
      <c r="H862" t="s">
        <v>40</v>
      </c>
      <c r="I862" t="s">
        <v>41</v>
      </c>
      <c r="J862" s="2">
        <v>45373</v>
      </c>
      <c r="K862" s="2">
        <v>45376</v>
      </c>
      <c r="L862" s="2">
        <v>45381</v>
      </c>
      <c r="M862" s="2">
        <v>45383</v>
      </c>
      <c r="N862" s="2">
        <v>45392</v>
      </c>
      <c r="O862">
        <v>1</v>
      </c>
      <c r="P862">
        <v>1</v>
      </c>
      <c r="Q862">
        <v>1</v>
      </c>
      <c r="R862">
        <v>1</v>
      </c>
      <c r="S862">
        <v>0</v>
      </c>
      <c r="T862" t="s">
        <v>61</v>
      </c>
      <c r="U862">
        <v>83</v>
      </c>
      <c r="V862">
        <v>19</v>
      </c>
      <c r="W862">
        <v>10</v>
      </c>
      <c r="X862">
        <v>2665501</v>
      </c>
    </row>
    <row r="863" spans="1:25">
      <c r="A863" s="1" t="s">
        <v>932</v>
      </c>
      <c r="B863" t="s">
        <v>70</v>
      </c>
      <c r="C863" t="s">
        <v>27</v>
      </c>
      <c r="D863" t="s">
        <v>59</v>
      </c>
      <c r="E863" t="s">
        <v>29</v>
      </c>
      <c r="F863" t="s">
        <v>67</v>
      </c>
      <c r="G863" t="s">
        <v>45</v>
      </c>
      <c r="H863" t="s">
        <v>32</v>
      </c>
      <c r="I863" t="s">
        <v>33</v>
      </c>
      <c r="J863" s="2">
        <v>45178</v>
      </c>
      <c r="K863" s="2">
        <v>45180</v>
      </c>
      <c r="L863" s="2">
        <v>45186</v>
      </c>
      <c r="M863" s="2">
        <v>45190</v>
      </c>
      <c r="N863" s="2">
        <v>45209</v>
      </c>
      <c r="O863">
        <v>1</v>
      </c>
      <c r="P863">
        <v>1</v>
      </c>
      <c r="Q863">
        <v>1</v>
      </c>
      <c r="R863">
        <v>1</v>
      </c>
      <c r="S863">
        <v>0</v>
      </c>
      <c r="T863" t="s">
        <v>61</v>
      </c>
      <c r="U863">
        <v>55</v>
      </c>
      <c r="V863">
        <v>31</v>
      </c>
      <c r="W863">
        <v>2</v>
      </c>
      <c r="X863">
        <v>435279</v>
      </c>
    </row>
    <row r="864" spans="1:25">
      <c r="A864" s="1" t="s">
        <v>933</v>
      </c>
      <c r="B864" t="s">
        <v>58</v>
      </c>
      <c r="C864" t="s">
        <v>47</v>
      </c>
      <c r="D864" t="s">
        <v>73</v>
      </c>
      <c r="E864" t="s">
        <v>54</v>
      </c>
      <c r="F864" t="s">
        <v>38</v>
      </c>
      <c r="G864" t="s">
        <v>31</v>
      </c>
      <c r="H864" t="s">
        <v>56</v>
      </c>
      <c r="I864" t="s">
        <v>41</v>
      </c>
      <c r="J864" s="2">
        <v>45464</v>
      </c>
      <c r="K864" s="2">
        <v>45469</v>
      </c>
      <c r="L864" s="2">
        <v>45475</v>
      </c>
      <c r="M864" s="2">
        <v>45480</v>
      </c>
      <c r="N864" s="2">
        <v>45476</v>
      </c>
      <c r="O864">
        <v>1</v>
      </c>
      <c r="P864">
        <v>1</v>
      </c>
      <c r="Q864">
        <v>1</v>
      </c>
      <c r="R864">
        <v>0</v>
      </c>
      <c r="S864">
        <v>0</v>
      </c>
      <c r="T864" t="s">
        <v>49</v>
      </c>
      <c r="U864">
        <v>60</v>
      </c>
      <c r="W864">
        <v>13</v>
      </c>
      <c r="X864">
        <v>1981198</v>
      </c>
      <c r="Y864" t="s">
        <v>80</v>
      </c>
    </row>
    <row r="865" spans="1:25">
      <c r="A865" s="1" t="s">
        <v>934</v>
      </c>
      <c r="B865" t="s">
        <v>90</v>
      </c>
      <c r="C865" t="s">
        <v>78</v>
      </c>
      <c r="D865" t="s">
        <v>59</v>
      </c>
      <c r="E865" t="s">
        <v>102</v>
      </c>
      <c r="F865" t="s">
        <v>30</v>
      </c>
      <c r="G865" t="s">
        <v>60</v>
      </c>
      <c r="H865" t="s">
        <v>40</v>
      </c>
      <c r="I865" t="s">
        <v>33</v>
      </c>
      <c r="J865" s="2">
        <v>45328</v>
      </c>
      <c r="K865" s="2">
        <v>45332</v>
      </c>
      <c r="L865" s="2">
        <v>45341</v>
      </c>
      <c r="M865" s="2">
        <v>45344</v>
      </c>
      <c r="N865" s="2">
        <v>45347</v>
      </c>
      <c r="O865">
        <v>1</v>
      </c>
      <c r="P865">
        <v>1</v>
      </c>
      <c r="Q865">
        <v>1</v>
      </c>
      <c r="R865">
        <v>1</v>
      </c>
      <c r="S865">
        <v>0</v>
      </c>
      <c r="T865" t="s">
        <v>61</v>
      </c>
      <c r="U865">
        <v>99</v>
      </c>
      <c r="V865">
        <v>19</v>
      </c>
      <c r="W865">
        <v>6</v>
      </c>
      <c r="X865">
        <v>2157784</v>
      </c>
    </row>
    <row r="866" spans="1:25">
      <c r="A866" s="1" t="s">
        <v>935</v>
      </c>
      <c r="B866" t="s">
        <v>70</v>
      </c>
      <c r="C866" t="s">
        <v>37</v>
      </c>
      <c r="D866" t="s">
        <v>44</v>
      </c>
      <c r="E866" t="s">
        <v>66</v>
      </c>
      <c r="F866" t="s">
        <v>76</v>
      </c>
      <c r="G866" t="s">
        <v>60</v>
      </c>
      <c r="H866" t="s">
        <v>32</v>
      </c>
      <c r="I866" t="s">
        <v>41</v>
      </c>
      <c r="J866" s="2">
        <v>45168</v>
      </c>
      <c r="K866" s="2">
        <v>45169</v>
      </c>
      <c r="L866" s="2">
        <v>45176</v>
      </c>
      <c r="M866" s="2">
        <v>45180</v>
      </c>
      <c r="N866" s="2">
        <v>45204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74</v>
      </c>
      <c r="U866">
        <v>87</v>
      </c>
      <c r="W866">
        <v>3</v>
      </c>
    </row>
    <row r="867" spans="1:25">
      <c r="A867" s="1" t="s">
        <v>936</v>
      </c>
      <c r="B867" t="s">
        <v>43</v>
      </c>
      <c r="C867" t="s">
        <v>71</v>
      </c>
      <c r="D867" t="s">
        <v>59</v>
      </c>
      <c r="E867" t="s">
        <v>63</v>
      </c>
      <c r="F867" t="s">
        <v>67</v>
      </c>
      <c r="G867" t="s">
        <v>45</v>
      </c>
      <c r="H867" t="s">
        <v>32</v>
      </c>
      <c r="I867" t="s">
        <v>33</v>
      </c>
      <c r="J867" s="2">
        <v>45110</v>
      </c>
      <c r="K867" s="2">
        <v>45111</v>
      </c>
      <c r="L867" s="2">
        <v>45114</v>
      </c>
      <c r="M867" s="2">
        <v>45121</v>
      </c>
      <c r="N867" s="2">
        <v>45129</v>
      </c>
      <c r="O867">
        <v>1</v>
      </c>
      <c r="P867">
        <v>1</v>
      </c>
      <c r="Q867">
        <v>0</v>
      </c>
      <c r="R867">
        <v>0</v>
      </c>
      <c r="S867">
        <v>0</v>
      </c>
      <c r="T867" t="s">
        <v>34</v>
      </c>
      <c r="U867">
        <v>47</v>
      </c>
      <c r="W867">
        <v>5</v>
      </c>
    </row>
    <row r="868" spans="1:25">
      <c r="A868" s="1" t="s">
        <v>937</v>
      </c>
      <c r="B868" t="s">
        <v>26</v>
      </c>
      <c r="C868" t="s">
        <v>78</v>
      </c>
      <c r="D868" t="s">
        <v>28</v>
      </c>
      <c r="E868" t="s">
        <v>54</v>
      </c>
      <c r="F868" t="s">
        <v>76</v>
      </c>
      <c r="G868" t="s">
        <v>60</v>
      </c>
      <c r="H868" t="s">
        <v>32</v>
      </c>
      <c r="I868" t="s">
        <v>33</v>
      </c>
      <c r="J868" s="2">
        <v>45063</v>
      </c>
      <c r="K868" s="2">
        <v>45067</v>
      </c>
      <c r="L868" s="2">
        <v>45077</v>
      </c>
      <c r="M868" s="2">
        <v>45081</v>
      </c>
      <c r="N868" s="2">
        <v>45085</v>
      </c>
      <c r="O868">
        <v>1</v>
      </c>
      <c r="P868">
        <v>1</v>
      </c>
      <c r="Q868">
        <v>0</v>
      </c>
      <c r="R868">
        <v>0</v>
      </c>
      <c r="S868">
        <v>0</v>
      </c>
      <c r="T868" t="s">
        <v>34</v>
      </c>
      <c r="U868">
        <v>71</v>
      </c>
      <c r="W868">
        <v>8</v>
      </c>
    </row>
    <row r="869" spans="1:25">
      <c r="A869" s="1" t="s">
        <v>938</v>
      </c>
      <c r="B869" t="s">
        <v>58</v>
      </c>
      <c r="C869" t="s">
        <v>47</v>
      </c>
      <c r="D869" t="s">
        <v>73</v>
      </c>
      <c r="E869" t="s">
        <v>63</v>
      </c>
      <c r="F869" t="s">
        <v>38</v>
      </c>
      <c r="G869" t="s">
        <v>45</v>
      </c>
      <c r="H869" t="s">
        <v>32</v>
      </c>
      <c r="I869" t="s">
        <v>33</v>
      </c>
      <c r="J869" s="2">
        <v>44997</v>
      </c>
      <c r="K869" s="2">
        <v>45000</v>
      </c>
      <c r="L869" s="2">
        <v>45010</v>
      </c>
      <c r="M869" s="2">
        <v>45017</v>
      </c>
      <c r="N869" s="2">
        <v>45015</v>
      </c>
      <c r="O869">
        <v>1</v>
      </c>
      <c r="P869">
        <v>1</v>
      </c>
      <c r="Q869">
        <v>0</v>
      </c>
      <c r="R869">
        <v>0</v>
      </c>
      <c r="S869">
        <v>0</v>
      </c>
      <c r="T869" t="s">
        <v>34</v>
      </c>
      <c r="U869">
        <v>88</v>
      </c>
      <c r="W869">
        <v>11</v>
      </c>
    </row>
    <row r="870" spans="1:25">
      <c r="A870" s="1" t="s">
        <v>939</v>
      </c>
      <c r="B870" t="s">
        <v>70</v>
      </c>
      <c r="C870" t="s">
        <v>27</v>
      </c>
      <c r="D870" t="s">
        <v>52</v>
      </c>
      <c r="E870" t="s">
        <v>29</v>
      </c>
      <c r="F870" t="s">
        <v>38</v>
      </c>
      <c r="G870" t="s">
        <v>39</v>
      </c>
      <c r="H870" t="s">
        <v>32</v>
      </c>
      <c r="I870" t="s">
        <v>33</v>
      </c>
      <c r="J870" s="2">
        <v>45401</v>
      </c>
      <c r="K870" s="2">
        <v>45402</v>
      </c>
      <c r="L870" s="2">
        <v>45410</v>
      </c>
      <c r="M870" s="2">
        <v>45414</v>
      </c>
      <c r="N870" s="2">
        <v>45428</v>
      </c>
      <c r="O870">
        <v>1</v>
      </c>
      <c r="P870">
        <v>0</v>
      </c>
      <c r="Q870">
        <v>0</v>
      </c>
      <c r="R870">
        <v>0</v>
      </c>
      <c r="S870">
        <v>0</v>
      </c>
      <c r="T870" t="s">
        <v>34</v>
      </c>
      <c r="U870">
        <v>74</v>
      </c>
      <c r="W870">
        <v>0</v>
      </c>
    </row>
    <row r="871" spans="1:25">
      <c r="A871" s="1" t="s">
        <v>940</v>
      </c>
      <c r="B871" t="s">
        <v>26</v>
      </c>
      <c r="C871" t="s">
        <v>78</v>
      </c>
      <c r="D871" t="s">
        <v>44</v>
      </c>
      <c r="E871" t="s">
        <v>54</v>
      </c>
      <c r="F871" t="s">
        <v>64</v>
      </c>
      <c r="G871" t="s">
        <v>39</v>
      </c>
      <c r="H871" t="s">
        <v>40</v>
      </c>
      <c r="I871" t="s">
        <v>41</v>
      </c>
      <c r="J871" s="2">
        <v>45106</v>
      </c>
      <c r="K871" s="2">
        <v>45111</v>
      </c>
      <c r="L871" s="2">
        <v>45120</v>
      </c>
      <c r="M871" s="2">
        <v>45124</v>
      </c>
      <c r="N871" s="2">
        <v>45122</v>
      </c>
      <c r="O871">
        <v>1</v>
      </c>
      <c r="P871">
        <v>0</v>
      </c>
      <c r="Q871">
        <v>0</v>
      </c>
      <c r="R871">
        <v>0</v>
      </c>
      <c r="S871">
        <v>0</v>
      </c>
      <c r="T871" t="s">
        <v>34</v>
      </c>
      <c r="U871">
        <v>75</v>
      </c>
      <c r="W871">
        <v>9</v>
      </c>
    </row>
    <row r="872" spans="1:25">
      <c r="A872" s="1" t="s">
        <v>941</v>
      </c>
      <c r="B872" t="s">
        <v>70</v>
      </c>
      <c r="C872" t="s">
        <v>27</v>
      </c>
      <c r="D872" t="s">
        <v>44</v>
      </c>
      <c r="E872" t="s">
        <v>54</v>
      </c>
      <c r="F872" t="s">
        <v>67</v>
      </c>
      <c r="G872" t="s">
        <v>31</v>
      </c>
      <c r="H872" t="s">
        <v>40</v>
      </c>
      <c r="I872" t="s">
        <v>33</v>
      </c>
      <c r="J872" s="2">
        <v>44983</v>
      </c>
      <c r="K872" s="2">
        <v>44986</v>
      </c>
      <c r="L872" s="2">
        <v>44991</v>
      </c>
      <c r="M872" s="2">
        <v>44993</v>
      </c>
      <c r="N872" s="2">
        <v>45021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74</v>
      </c>
      <c r="U872">
        <v>63</v>
      </c>
      <c r="W872">
        <v>1</v>
      </c>
    </row>
    <row r="873" spans="1:25">
      <c r="A873" s="1" t="s">
        <v>942</v>
      </c>
      <c r="B873" t="s">
        <v>70</v>
      </c>
      <c r="C873" t="s">
        <v>27</v>
      </c>
      <c r="D873" t="s">
        <v>59</v>
      </c>
      <c r="E873" t="s">
        <v>63</v>
      </c>
      <c r="F873" t="s">
        <v>76</v>
      </c>
      <c r="G873" t="s">
        <v>60</v>
      </c>
      <c r="H873" t="s">
        <v>40</v>
      </c>
      <c r="I873" t="s">
        <v>33</v>
      </c>
      <c r="J873" s="2">
        <v>44994</v>
      </c>
      <c r="K873" s="2">
        <v>44998</v>
      </c>
      <c r="L873" s="2">
        <v>45003</v>
      </c>
      <c r="M873" s="2">
        <v>45006</v>
      </c>
      <c r="N873" s="2">
        <v>45034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74</v>
      </c>
      <c r="U873">
        <v>96</v>
      </c>
      <c r="W873">
        <v>2</v>
      </c>
    </row>
    <row r="874" spans="1:25">
      <c r="A874" s="1" t="s">
        <v>943</v>
      </c>
      <c r="B874" t="s">
        <v>90</v>
      </c>
      <c r="C874" t="s">
        <v>71</v>
      </c>
      <c r="D874" t="s">
        <v>44</v>
      </c>
      <c r="E874" t="s">
        <v>29</v>
      </c>
      <c r="F874" t="s">
        <v>67</v>
      </c>
      <c r="G874" t="s">
        <v>60</v>
      </c>
      <c r="H874" t="s">
        <v>56</v>
      </c>
      <c r="I874" t="s">
        <v>33</v>
      </c>
      <c r="J874" s="2">
        <v>45105</v>
      </c>
      <c r="K874" s="2">
        <v>45108</v>
      </c>
      <c r="L874" s="2">
        <v>45112</v>
      </c>
      <c r="M874" s="2">
        <v>45117</v>
      </c>
      <c r="N874" s="2">
        <v>45135</v>
      </c>
      <c r="O874">
        <v>1</v>
      </c>
      <c r="P874">
        <v>1</v>
      </c>
      <c r="Q874">
        <v>0</v>
      </c>
      <c r="R874">
        <v>0</v>
      </c>
      <c r="S874">
        <v>0</v>
      </c>
      <c r="T874" t="s">
        <v>34</v>
      </c>
      <c r="U874">
        <v>86</v>
      </c>
      <c r="W874">
        <v>3</v>
      </c>
    </row>
    <row r="875" spans="1:25">
      <c r="A875" s="1" t="s">
        <v>944</v>
      </c>
      <c r="B875" t="s">
        <v>43</v>
      </c>
      <c r="C875" t="s">
        <v>71</v>
      </c>
      <c r="D875" t="s">
        <v>59</v>
      </c>
      <c r="E875" t="s">
        <v>29</v>
      </c>
      <c r="F875" t="s">
        <v>67</v>
      </c>
      <c r="G875" t="s">
        <v>31</v>
      </c>
      <c r="H875" t="s">
        <v>56</v>
      </c>
      <c r="I875" t="s">
        <v>33</v>
      </c>
      <c r="J875" s="2">
        <v>45150</v>
      </c>
      <c r="K875" s="2">
        <v>45153</v>
      </c>
      <c r="L875" s="2">
        <v>45159</v>
      </c>
      <c r="M875" s="2">
        <v>45162</v>
      </c>
      <c r="N875" s="2">
        <v>45174</v>
      </c>
      <c r="O875">
        <v>0</v>
      </c>
      <c r="P875">
        <v>0</v>
      </c>
      <c r="Q875">
        <v>0</v>
      </c>
      <c r="R875">
        <v>0</v>
      </c>
      <c r="S875">
        <v>1</v>
      </c>
      <c r="T875" t="s">
        <v>74</v>
      </c>
      <c r="U875">
        <v>86</v>
      </c>
      <c r="W875">
        <v>3</v>
      </c>
    </row>
    <row r="876" spans="1:25">
      <c r="A876" s="1" t="s">
        <v>945</v>
      </c>
      <c r="B876" t="s">
        <v>70</v>
      </c>
      <c r="C876" t="s">
        <v>47</v>
      </c>
      <c r="D876" t="s">
        <v>73</v>
      </c>
      <c r="E876" t="s">
        <v>29</v>
      </c>
      <c r="F876" t="s">
        <v>64</v>
      </c>
      <c r="G876" t="s">
        <v>55</v>
      </c>
      <c r="H876" t="s">
        <v>56</v>
      </c>
      <c r="I876" t="s">
        <v>41</v>
      </c>
      <c r="J876" s="2">
        <v>44961</v>
      </c>
      <c r="K876" s="2">
        <v>44966</v>
      </c>
      <c r="L876" s="2">
        <v>44971</v>
      </c>
      <c r="M876" s="2">
        <v>44978</v>
      </c>
      <c r="N876" s="2">
        <v>44987</v>
      </c>
      <c r="O876">
        <v>1</v>
      </c>
      <c r="P876">
        <v>1</v>
      </c>
      <c r="Q876">
        <v>1</v>
      </c>
      <c r="R876">
        <v>1</v>
      </c>
      <c r="S876">
        <v>0</v>
      </c>
      <c r="T876" t="s">
        <v>61</v>
      </c>
      <c r="U876">
        <v>83</v>
      </c>
      <c r="V876">
        <v>26</v>
      </c>
      <c r="W876">
        <v>13</v>
      </c>
      <c r="X876">
        <v>3076066</v>
      </c>
    </row>
    <row r="877" spans="1:25">
      <c r="A877" s="1" t="s">
        <v>946</v>
      </c>
      <c r="B877" t="s">
        <v>58</v>
      </c>
      <c r="C877" t="s">
        <v>37</v>
      </c>
      <c r="D877" t="s">
        <v>59</v>
      </c>
      <c r="E877" t="s">
        <v>29</v>
      </c>
      <c r="F877" t="s">
        <v>64</v>
      </c>
      <c r="G877" t="s">
        <v>60</v>
      </c>
      <c r="H877" t="s">
        <v>32</v>
      </c>
      <c r="I877" t="s">
        <v>33</v>
      </c>
      <c r="J877" s="2">
        <v>45458</v>
      </c>
      <c r="K877" s="2">
        <v>45460</v>
      </c>
      <c r="L877" s="2">
        <v>45464</v>
      </c>
      <c r="M877" s="2">
        <v>45469</v>
      </c>
      <c r="N877" s="2">
        <v>45477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74</v>
      </c>
      <c r="U877">
        <v>85</v>
      </c>
      <c r="W877">
        <v>2</v>
      </c>
    </row>
    <row r="878" spans="1:25">
      <c r="A878" s="1" t="s">
        <v>947</v>
      </c>
      <c r="B878" t="s">
        <v>70</v>
      </c>
      <c r="C878" t="s">
        <v>27</v>
      </c>
      <c r="D878" t="s">
        <v>73</v>
      </c>
      <c r="E878" t="s">
        <v>66</v>
      </c>
      <c r="F878" t="s">
        <v>38</v>
      </c>
      <c r="G878" t="s">
        <v>45</v>
      </c>
      <c r="H878" t="s">
        <v>32</v>
      </c>
      <c r="I878" t="s">
        <v>33</v>
      </c>
      <c r="J878" s="2">
        <v>45111</v>
      </c>
      <c r="K878" s="2">
        <v>45113</v>
      </c>
      <c r="L878" s="2">
        <v>45122</v>
      </c>
      <c r="M878" s="2">
        <v>45128</v>
      </c>
      <c r="N878" s="2">
        <v>45138</v>
      </c>
      <c r="O878">
        <v>1</v>
      </c>
      <c r="P878">
        <v>0</v>
      </c>
      <c r="Q878">
        <v>0</v>
      </c>
      <c r="R878">
        <v>0</v>
      </c>
      <c r="S878">
        <v>0</v>
      </c>
      <c r="T878" t="s">
        <v>34</v>
      </c>
      <c r="U878">
        <v>53</v>
      </c>
      <c r="W878">
        <v>0</v>
      </c>
    </row>
    <row r="879" spans="1:25">
      <c r="A879" s="1" t="s">
        <v>948</v>
      </c>
      <c r="B879" t="s">
        <v>70</v>
      </c>
      <c r="C879" t="s">
        <v>71</v>
      </c>
      <c r="D879" t="s">
        <v>44</v>
      </c>
      <c r="E879" t="s">
        <v>54</v>
      </c>
      <c r="F879" t="s">
        <v>30</v>
      </c>
      <c r="G879" t="s">
        <v>45</v>
      </c>
      <c r="H879" t="s">
        <v>56</v>
      </c>
      <c r="I879" t="s">
        <v>41</v>
      </c>
      <c r="J879" s="2">
        <v>45184</v>
      </c>
      <c r="K879" s="2">
        <v>45186</v>
      </c>
      <c r="L879" s="2">
        <v>45196</v>
      </c>
      <c r="M879" s="2">
        <v>45203</v>
      </c>
      <c r="N879" s="2">
        <v>45207</v>
      </c>
      <c r="O879">
        <v>1</v>
      </c>
      <c r="P879">
        <v>1</v>
      </c>
      <c r="Q879">
        <v>1</v>
      </c>
      <c r="R879">
        <v>1</v>
      </c>
      <c r="S879">
        <v>0</v>
      </c>
      <c r="T879" t="s">
        <v>61</v>
      </c>
      <c r="U879">
        <v>72</v>
      </c>
      <c r="V879">
        <v>23</v>
      </c>
      <c r="W879">
        <v>4</v>
      </c>
      <c r="X879">
        <v>970650</v>
      </c>
    </row>
    <row r="880" spans="1:25">
      <c r="A880" s="1" t="s">
        <v>949</v>
      </c>
      <c r="B880" t="s">
        <v>70</v>
      </c>
      <c r="C880" t="s">
        <v>37</v>
      </c>
      <c r="D880" t="s">
        <v>44</v>
      </c>
      <c r="E880" t="s">
        <v>29</v>
      </c>
      <c r="F880" t="s">
        <v>30</v>
      </c>
      <c r="G880" t="s">
        <v>55</v>
      </c>
      <c r="H880" t="s">
        <v>56</v>
      </c>
      <c r="I880" t="s">
        <v>33</v>
      </c>
      <c r="J880" s="2">
        <v>45261</v>
      </c>
      <c r="K880" s="2">
        <v>45262</v>
      </c>
      <c r="L880" s="2">
        <v>45268</v>
      </c>
      <c r="M880" s="2">
        <v>45274</v>
      </c>
      <c r="N880" s="2">
        <v>45297</v>
      </c>
      <c r="O880">
        <v>1</v>
      </c>
      <c r="P880">
        <v>1</v>
      </c>
      <c r="Q880">
        <v>1</v>
      </c>
      <c r="R880">
        <v>0</v>
      </c>
      <c r="S880">
        <v>0</v>
      </c>
      <c r="T880" t="s">
        <v>49</v>
      </c>
      <c r="U880">
        <v>96</v>
      </c>
      <c r="W880">
        <v>1</v>
      </c>
      <c r="X880">
        <v>708887</v>
      </c>
      <c r="Y880" t="s">
        <v>127</v>
      </c>
    </row>
    <row r="881" spans="1:25">
      <c r="A881" s="1" t="s">
        <v>950</v>
      </c>
      <c r="B881" t="s">
        <v>70</v>
      </c>
      <c r="C881" t="s">
        <v>27</v>
      </c>
      <c r="D881" t="s">
        <v>73</v>
      </c>
      <c r="E881" t="s">
        <v>102</v>
      </c>
      <c r="F881" t="s">
        <v>48</v>
      </c>
      <c r="G881" t="s">
        <v>45</v>
      </c>
      <c r="H881" t="s">
        <v>32</v>
      </c>
      <c r="I881" t="s">
        <v>33</v>
      </c>
      <c r="J881" s="2">
        <v>44959</v>
      </c>
      <c r="K881" s="2">
        <v>44961</v>
      </c>
      <c r="L881" s="2">
        <v>44970</v>
      </c>
      <c r="M881" s="2">
        <v>44972</v>
      </c>
      <c r="N881" s="2">
        <v>44987</v>
      </c>
      <c r="O881">
        <v>1</v>
      </c>
      <c r="P881">
        <v>0</v>
      </c>
      <c r="Q881">
        <v>0</v>
      </c>
      <c r="R881">
        <v>0</v>
      </c>
      <c r="S881">
        <v>0</v>
      </c>
      <c r="T881" t="s">
        <v>34</v>
      </c>
      <c r="U881">
        <v>71</v>
      </c>
      <c r="W881">
        <v>1</v>
      </c>
    </row>
    <row r="882" spans="1:25">
      <c r="A882" s="1" t="s">
        <v>951</v>
      </c>
      <c r="B882" t="s">
        <v>70</v>
      </c>
      <c r="C882" t="s">
        <v>47</v>
      </c>
      <c r="D882" t="s">
        <v>44</v>
      </c>
      <c r="E882" t="s">
        <v>66</v>
      </c>
      <c r="F882" t="s">
        <v>48</v>
      </c>
      <c r="G882" t="s">
        <v>39</v>
      </c>
      <c r="H882" t="s">
        <v>56</v>
      </c>
      <c r="I882" t="s">
        <v>41</v>
      </c>
      <c r="J882" s="2">
        <v>45025</v>
      </c>
      <c r="K882" s="2">
        <v>45030</v>
      </c>
      <c r="L882" s="2">
        <v>45035</v>
      </c>
      <c r="M882" s="2">
        <v>45041</v>
      </c>
      <c r="N882" s="2">
        <v>45051</v>
      </c>
      <c r="O882">
        <v>1</v>
      </c>
      <c r="P882">
        <v>1</v>
      </c>
      <c r="Q882">
        <v>1</v>
      </c>
      <c r="R882">
        <v>1</v>
      </c>
      <c r="S882">
        <v>0</v>
      </c>
      <c r="T882" t="s">
        <v>61</v>
      </c>
      <c r="U882">
        <v>48</v>
      </c>
      <c r="V882">
        <v>26</v>
      </c>
      <c r="W882">
        <v>12</v>
      </c>
      <c r="X882">
        <v>3013524</v>
      </c>
    </row>
    <row r="883" spans="1:25">
      <c r="A883" s="1" t="s">
        <v>952</v>
      </c>
      <c r="B883" t="s">
        <v>70</v>
      </c>
      <c r="C883" t="s">
        <v>47</v>
      </c>
      <c r="D883" t="s">
        <v>59</v>
      </c>
      <c r="E883" t="s">
        <v>63</v>
      </c>
      <c r="F883" t="s">
        <v>48</v>
      </c>
      <c r="G883" t="s">
        <v>60</v>
      </c>
      <c r="H883" t="s">
        <v>32</v>
      </c>
      <c r="I883" t="s">
        <v>33</v>
      </c>
      <c r="J883" s="2">
        <v>45042</v>
      </c>
      <c r="K883" s="2">
        <v>45046</v>
      </c>
      <c r="L883" s="2">
        <v>45049</v>
      </c>
      <c r="M883" s="2">
        <v>45052</v>
      </c>
      <c r="N883" s="2">
        <v>45067</v>
      </c>
      <c r="O883">
        <v>1</v>
      </c>
      <c r="P883">
        <v>0</v>
      </c>
      <c r="Q883">
        <v>0</v>
      </c>
      <c r="R883">
        <v>0</v>
      </c>
      <c r="S883">
        <v>0</v>
      </c>
      <c r="T883" t="s">
        <v>34</v>
      </c>
      <c r="U883">
        <v>46</v>
      </c>
      <c r="W883">
        <v>14</v>
      </c>
    </row>
    <row r="884" spans="1:25">
      <c r="A884" s="1" t="s">
        <v>953</v>
      </c>
      <c r="B884" t="s">
        <v>26</v>
      </c>
      <c r="C884" t="s">
        <v>78</v>
      </c>
      <c r="D884" t="s">
        <v>44</v>
      </c>
      <c r="E884" t="s">
        <v>54</v>
      </c>
      <c r="F884" t="s">
        <v>67</v>
      </c>
      <c r="G884" t="s">
        <v>45</v>
      </c>
      <c r="H884" t="s">
        <v>56</v>
      </c>
      <c r="I884" t="s">
        <v>41</v>
      </c>
      <c r="J884" s="2">
        <v>45319</v>
      </c>
      <c r="K884" s="2">
        <v>45320</v>
      </c>
      <c r="L884" s="2">
        <v>45323</v>
      </c>
      <c r="M884" s="2">
        <v>45329</v>
      </c>
      <c r="N884" s="2">
        <v>45344</v>
      </c>
      <c r="O884">
        <v>1</v>
      </c>
      <c r="P884">
        <v>1</v>
      </c>
      <c r="Q884">
        <v>1</v>
      </c>
      <c r="R884">
        <v>0</v>
      </c>
      <c r="S884">
        <v>0</v>
      </c>
      <c r="T884" t="s">
        <v>49</v>
      </c>
      <c r="U884">
        <v>83</v>
      </c>
      <c r="W884">
        <v>10</v>
      </c>
      <c r="X884">
        <v>2085198</v>
      </c>
      <c r="Y884" t="s">
        <v>127</v>
      </c>
    </row>
    <row r="885" spans="1:25">
      <c r="A885" s="1" t="s">
        <v>954</v>
      </c>
      <c r="B885" t="s">
        <v>70</v>
      </c>
      <c r="C885" t="s">
        <v>27</v>
      </c>
      <c r="D885" t="s">
        <v>73</v>
      </c>
      <c r="E885" t="s">
        <v>29</v>
      </c>
      <c r="F885" t="s">
        <v>64</v>
      </c>
      <c r="G885" t="s">
        <v>55</v>
      </c>
      <c r="H885" t="s">
        <v>56</v>
      </c>
      <c r="I885" t="s">
        <v>33</v>
      </c>
      <c r="J885" s="2">
        <v>45220</v>
      </c>
      <c r="K885" s="2">
        <v>45221</v>
      </c>
      <c r="L885" s="2">
        <v>45227</v>
      </c>
      <c r="M885" s="2">
        <v>45230</v>
      </c>
      <c r="N885" s="2">
        <v>45241</v>
      </c>
      <c r="O885">
        <v>1</v>
      </c>
      <c r="P885">
        <v>1</v>
      </c>
      <c r="Q885">
        <v>1</v>
      </c>
      <c r="R885">
        <v>1</v>
      </c>
      <c r="S885">
        <v>0</v>
      </c>
      <c r="T885" t="s">
        <v>61</v>
      </c>
      <c r="U885">
        <v>76</v>
      </c>
      <c r="V885">
        <v>21</v>
      </c>
      <c r="W885">
        <v>0</v>
      </c>
      <c r="X885">
        <v>445223</v>
      </c>
    </row>
    <row r="886" spans="1:25">
      <c r="A886" s="1" t="s">
        <v>955</v>
      </c>
      <c r="B886" t="s">
        <v>36</v>
      </c>
      <c r="C886" t="s">
        <v>71</v>
      </c>
      <c r="D886" t="s">
        <v>44</v>
      </c>
      <c r="E886" t="s">
        <v>54</v>
      </c>
      <c r="F886" t="s">
        <v>76</v>
      </c>
      <c r="G886" t="s">
        <v>55</v>
      </c>
      <c r="H886" t="s">
        <v>32</v>
      </c>
      <c r="I886" t="s">
        <v>33</v>
      </c>
      <c r="J886" s="2">
        <v>45230</v>
      </c>
      <c r="K886" s="2">
        <v>45233</v>
      </c>
      <c r="L886" s="2">
        <v>45236</v>
      </c>
      <c r="M886" s="2">
        <v>45241</v>
      </c>
      <c r="N886" s="2">
        <v>45257</v>
      </c>
      <c r="O886">
        <v>0</v>
      </c>
      <c r="P886">
        <v>0</v>
      </c>
      <c r="Q886">
        <v>0</v>
      </c>
      <c r="R886">
        <v>0</v>
      </c>
      <c r="S886">
        <v>1</v>
      </c>
      <c r="T886" t="s">
        <v>74</v>
      </c>
      <c r="U886">
        <v>86</v>
      </c>
      <c r="W886">
        <v>3</v>
      </c>
    </row>
    <row r="887" spans="1:25">
      <c r="A887" s="1" t="s">
        <v>956</v>
      </c>
      <c r="B887" t="s">
        <v>70</v>
      </c>
      <c r="C887" t="s">
        <v>37</v>
      </c>
      <c r="D887" t="s">
        <v>59</v>
      </c>
      <c r="E887" t="s">
        <v>63</v>
      </c>
      <c r="F887" t="s">
        <v>30</v>
      </c>
      <c r="G887" t="s">
        <v>60</v>
      </c>
      <c r="H887" t="s">
        <v>40</v>
      </c>
      <c r="I887" t="s">
        <v>33</v>
      </c>
      <c r="J887" s="2">
        <v>45206</v>
      </c>
      <c r="K887" s="2">
        <v>45209</v>
      </c>
      <c r="L887" s="2">
        <v>45219</v>
      </c>
      <c r="M887" s="2">
        <v>45222</v>
      </c>
      <c r="N887" s="2">
        <v>45244</v>
      </c>
      <c r="O887">
        <v>1</v>
      </c>
      <c r="P887">
        <v>0</v>
      </c>
      <c r="Q887">
        <v>0</v>
      </c>
      <c r="R887">
        <v>0</v>
      </c>
      <c r="S887">
        <v>0</v>
      </c>
      <c r="T887" t="s">
        <v>34</v>
      </c>
      <c r="U887">
        <v>56</v>
      </c>
      <c r="W887">
        <v>3</v>
      </c>
    </row>
    <row r="888" spans="1:25">
      <c r="A888" s="1" t="s">
        <v>957</v>
      </c>
      <c r="B888" t="s">
        <v>58</v>
      </c>
      <c r="C888" t="s">
        <v>27</v>
      </c>
      <c r="D888" t="s">
        <v>59</v>
      </c>
      <c r="E888" t="s">
        <v>54</v>
      </c>
      <c r="F888" t="s">
        <v>48</v>
      </c>
      <c r="G888" t="s">
        <v>60</v>
      </c>
      <c r="H888" t="s">
        <v>32</v>
      </c>
      <c r="I888" t="s">
        <v>33</v>
      </c>
      <c r="J888" s="2">
        <v>45375</v>
      </c>
      <c r="K888" s="2">
        <v>45377</v>
      </c>
      <c r="L888" s="2">
        <v>45382</v>
      </c>
      <c r="M888" s="2">
        <v>45387</v>
      </c>
      <c r="N888" s="2">
        <v>45389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74</v>
      </c>
      <c r="U888">
        <v>87</v>
      </c>
      <c r="W888">
        <v>2</v>
      </c>
    </row>
    <row r="889" spans="1:25">
      <c r="A889" s="1" t="s">
        <v>958</v>
      </c>
      <c r="B889" t="s">
        <v>26</v>
      </c>
      <c r="C889" t="s">
        <v>37</v>
      </c>
      <c r="D889" t="s">
        <v>44</v>
      </c>
      <c r="E889" t="s">
        <v>29</v>
      </c>
      <c r="F889" t="s">
        <v>76</v>
      </c>
      <c r="G889" t="s">
        <v>60</v>
      </c>
      <c r="H889" t="s">
        <v>56</v>
      </c>
      <c r="I889" t="s">
        <v>41</v>
      </c>
      <c r="J889" s="2">
        <v>45120</v>
      </c>
      <c r="K889" s="2">
        <v>45123</v>
      </c>
      <c r="L889" s="2">
        <v>45127</v>
      </c>
      <c r="M889" s="2">
        <v>45130</v>
      </c>
      <c r="N889" s="2">
        <v>45142</v>
      </c>
      <c r="O889">
        <v>1</v>
      </c>
      <c r="P889">
        <v>0</v>
      </c>
      <c r="Q889">
        <v>0</v>
      </c>
      <c r="R889">
        <v>0</v>
      </c>
      <c r="S889">
        <v>0</v>
      </c>
      <c r="T889" t="s">
        <v>34</v>
      </c>
      <c r="U889">
        <v>69</v>
      </c>
      <c r="W889">
        <v>1</v>
      </c>
    </row>
    <row r="890" spans="1:25">
      <c r="A890" s="1" t="s">
        <v>959</v>
      </c>
      <c r="B890" t="s">
        <v>70</v>
      </c>
      <c r="C890" t="s">
        <v>37</v>
      </c>
      <c r="D890" t="s">
        <v>44</v>
      </c>
      <c r="E890" t="s">
        <v>66</v>
      </c>
      <c r="F890" t="s">
        <v>38</v>
      </c>
      <c r="G890" t="s">
        <v>39</v>
      </c>
      <c r="H890" t="s">
        <v>56</v>
      </c>
      <c r="I890" t="s">
        <v>41</v>
      </c>
      <c r="J890" s="2">
        <v>45067</v>
      </c>
      <c r="K890" s="2">
        <v>45072</v>
      </c>
      <c r="L890" s="2">
        <v>45082</v>
      </c>
      <c r="M890" s="2">
        <v>45086</v>
      </c>
      <c r="N890" s="2">
        <v>45092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74</v>
      </c>
      <c r="U890">
        <v>61</v>
      </c>
      <c r="W890">
        <v>2</v>
      </c>
    </row>
    <row r="891" spans="1:25">
      <c r="A891" s="1" t="s">
        <v>960</v>
      </c>
      <c r="B891" t="s">
        <v>70</v>
      </c>
      <c r="C891" t="s">
        <v>37</v>
      </c>
      <c r="D891" t="s">
        <v>44</v>
      </c>
      <c r="E891" t="s">
        <v>54</v>
      </c>
      <c r="F891" t="s">
        <v>76</v>
      </c>
      <c r="G891" t="s">
        <v>60</v>
      </c>
      <c r="H891" t="s">
        <v>32</v>
      </c>
      <c r="I891" t="s">
        <v>41</v>
      </c>
      <c r="J891" s="2">
        <v>45311</v>
      </c>
      <c r="K891" s="2">
        <v>45314</v>
      </c>
      <c r="L891" s="2">
        <v>45319</v>
      </c>
      <c r="M891" s="2">
        <v>45325</v>
      </c>
      <c r="N891" s="2">
        <v>45345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74</v>
      </c>
      <c r="U891">
        <v>82</v>
      </c>
      <c r="W891">
        <v>2</v>
      </c>
    </row>
    <row r="892" spans="1:25">
      <c r="A892" s="1" t="s">
        <v>961</v>
      </c>
      <c r="B892" t="s">
        <v>70</v>
      </c>
      <c r="C892" t="s">
        <v>47</v>
      </c>
      <c r="D892" t="s">
        <v>73</v>
      </c>
      <c r="E892" t="s">
        <v>63</v>
      </c>
      <c r="F892" t="s">
        <v>48</v>
      </c>
      <c r="G892" t="s">
        <v>45</v>
      </c>
      <c r="H892" t="s">
        <v>40</v>
      </c>
      <c r="I892" t="s">
        <v>33</v>
      </c>
      <c r="J892" s="2">
        <v>44938</v>
      </c>
      <c r="K892" s="2">
        <v>44943</v>
      </c>
      <c r="L892" s="2">
        <v>44951</v>
      </c>
      <c r="M892" s="2">
        <v>44953</v>
      </c>
      <c r="N892" s="2">
        <v>44960</v>
      </c>
      <c r="O892">
        <v>1</v>
      </c>
      <c r="P892">
        <v>0</v>
      </c>
      <c r="Q892">
        <v>0</v>
      </c>
      <c r="R892">
        <v>0</v>
      </c>
      <c r="S892">
        <v>0</v>
      </c>
      <c r="T892" t="s">
        <v>34</v>
      </c>
      <c r="U892">
        <v>54</v>
      </c>
      <c r="W892">
        <v>11</v>
      </c>
    </row>
    <row r="893" spans="1:25">
      <c r="A893" s="1" t="s">
        <v>962</v>
      </c>
      <c r="B893" t="s">
        <v>70</v>
      </c>
      <c r="C893" t="s">
        <v>27</v>
      </c>
      <c r="D893" t="s">
        <v>28</v>
      </c>
      <c r="E893" t="s">
        <v>63</v>
      </c>
      <c r="F893" t="s">
        <v>38</v>
      </c>
      <c r="G893" t="s">
        <v>45</v>
      </c>
      <c r="H893" t="s">
        <v>32</v>
      </c>
      <c r="I893" t="s">
        <v>33</v>
      </c>
      <c r="J893" s="2">
        <v>45404</v>
      </c>
      <c r="K893" s="2">
        <v>45407</v>
      </c>
      <c r="L893" s="2">
        <v>45414</v>
      </c>
      <c r="M893" s="2">
        <v>45420</v>
      </c>
      <c r="N893" s="2">
        <v>45425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74</v>
      </c>
      <c r="U893">
        <v>55</v>
      </c>
      <c r="W893">
        <v>2</v>
      </c>
    </row>
    <row r="894" spans="1:25">
      <c r="A894" s="1" t="s">
        <v>963</v>
      </c>
      <c r="B894" t="s">
        <v>58</v>
      </c>
      <c r="C894" t="s">
        <v>78</v>
      </c>
      <c r="D894" t="s">
        <v>73</v>
      </c>
      <c r="E894" t="s">
        <v>102</v>
      </c>
      <c r="F894" t="s">
        <v>30</v>
      </c>
      <c r="G894" t="s">
        <v>55</v>
      </c>
      <c r="H894" t="s">
        <v>56</v>
      </c>
      <c r="I894" t="s">
        <v>41</v>
      </c>
      <c r="J894" s="2">
        <v>45420</v>
      </c>
      <c r="K894" s="2">
        <v>45425</v>
      </c>
      <c r="L894" s="2">
        <v>45433</v>
      </c>
      <c r="M894" s="2">
        <v>45440</v>
      </c>
      <c r="N894" s="2">
        <v>45436</v>
      </c>
      <c r="O894">
        <v>1</v>
      </c>
      <c r="P894">
        <v>1</v>
      </c>
      <c r="Q894">
        <v>1</v>
      </c>
      <c r="R894">
        <v>0</v>
      </c>
      <c r="S894">
        <v>0</v>
      </c>
      <c r="T894" t="s">
        <v>49</v>
      </c>
      <c r="U894">
        <v>59</v>
      </c>
      <c r="W894">
        <v>9</v>
      </c>
      <c r="X894">
        <v>1877918</v>
      </c>
      <c r="Y894" t="s">
        <v>80</v>
      </c>
    </row>
    <row r="895" spans="1:25">
      <c r="A895" s="1" t="s">
        <v>964</v>
      </c>
      <c r="B895" t="s">
        <v>90</v>
      </c>
      <c r="C895" t="s">
        <v>47</v>
      </c>
      <c r="D895" t="s">
        <v>44</v>
      </c>
      <c r="E895" t="s">
        <v>102</v>
      </c>
      <c r="F895" t="s">
        <v>48</v>
      </c>
      <c r="G895" t="s">
        <v>55</v>
      </c>
      <c r="H895" t="s">
        <v>56</v>
      </c>
      <c r="I895" t="s">
        <v>33</v>
      </c>
      <c r="J895" s="2">
        <v>45040</v>
      </c>
      <c r="K895" s="2">
        <v>45042</v>
      </c>
      <c r="L895" s="2">
        <v>45052</v>
      </c>
      <c r="M895" s="2">
        <v>45059</v>
      </c>
      <c r="N895" s="2">
        <v>45063</v>
      </c>
      <c r="O895">
        <v>1</v>
      </c>
      <c r="P895">
        <v>1</v>
      </c>
      <c r="Q895">
        <v>1</v>
      </c>
      <c r="R895">
        <v>0</v>
      </c>
      <c r="S895">
        <v>1</v>
      </c>
      <c r="T895" t="s">
        <v>49</v>
      </c>
      <c r="U895">
        <v>92</v>
      </c>
      <c r="W895">
        <v>8</v>
      </c>
      <c r="X895">
        <v>2096526</v>
      </c>
      <c r="Y895" t="s">
        <v>127</v>
      </c>
    </row>
    <row r="896" spans="1:25">
      <c r="A896" s="1" t="s">
        <v>965</v>
      </c>
      <c r="B896" t="s">
        <v>58</v>
      </c>
      <c r="C896" t="s">
        <v>37</v>
      </c>
      <c r="D896" t="s">
        <v>59</v>
      </c>
      <c r="E896" t="s">
        <v>54</v>
      </c>
      <c r="F896" t="s">
        <v>48</v>
      </c>
      <c r="G896" t="s">
        <v>39</v>
      </c>
      <c r="H896" t="s">
        <v>32</v>
      </c>
      <c r="I896" t="s">
        <v>33</v>
      </c>
      <c r="J896" s="2">
        <v>45403</v>
      </c>
      <c r="K896" s="2">
        <v>45407</v>
      </c>
      <c r="L896" s="2">
        <v>45413</v>
      </c>
      <c r="M896" s="2">
        <v>45420</v>
      </c>
      <c r="N896" s="2">
        <v>45425</v>
      </c>
      <c r="O896">
        <v>1</v>
      </c>
      <c r="P896">
        <v>1</v>
      </c>
      <c r="Q896">
        <v>1</v>
      </c>
      <c r="R896">
        <v>1</v>
      </c>
      <c r="S896">
        <v>0</v>
      </c>
      <c r="T896" t="s">
        <v>61</v>
      </c>
      <c r="U896">
        <v>66</v>
      </c>
      <c r="V896">
        <v>22</v>
      </c>
      <c r="W896">
        <v>3</v>
      </c>
      <c r="X896">
        <v>854751</v>
      </c>
    </row>
    <row r="897" spans="1:24">
      <c r="A897" s="1" t="s">
        <v>966</v>
      </c>
      <c r="B897" t="s">
        <v>70</v>
      </c>
      <c r="C897" t="s">
        <v>37</v>
      </c>
      <c r="D897" t="s">
        <v>44</v>
      </c>
      <c r="E897" t="s">
        <v>66</v>
      </c>
      <c r="F897" t="s">
        <v>76</v>
      </c>
      <c r="G897" t="s">
        <v>39</v>
      </c>
      <c r="H897" t="s">
        <v>56</v>
      </c>
      <c r="I897" t="s">
        <v>33</v>
      </c>
      <c r="J897" s="2">
        <v>45002</v>
      </c>
      <c r="K897" s="2">
        <v>45004</v>
      </c>
      <c r="L897" s="2">
        <v>45007</v>
      </c>
      <c r="M897" s="2">
        <v>45009</v>
      </c>
      <c r="N897" s="2">
        <v>45022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74</v>
      </c>
      <c r="U897">
        <v>99</v>
      </c>
      <c r="W897">
        <v>4</v>
      </c>
    </row>
    <row r="898" spans="1:24">
      <c r="A898" s="1" t="s">
        <v>967</v>
      </c>
      <c r="B898" t="s">
        <v>90</v>
      </c>
      <c r="C898" t="s">
        <v>71</v>
      </c>
      <c r="D898" t="s">
        <v>52</v>
      </c>
      <c r="E898" t="s">
        <v>63</v>
      </c>
      <c r="F898" t="s">
        <v>67</v>
      </c>
      <c r="G898" t="s">
        <v>60</v>
      </c>
      <c r="H898" t="s">
        <v>56</v>
      </c>
      <c r="I898" t="s">
        <v>33</v>
      </c>
      <c r="J898" s="2">
        <v>45179</v>
      </c>
      <c r="K898" s="2">
        <v>45180</v>
      </c>
      <c r="L898" s="2">
        <v>45190</v>
      </c>
      <c r="M898" s="2">
        <v>45195</v>
      </c>
      <c r="N898" s="2">
        <v>45200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74</v>
      </c>
      <c r="U898">
        <v>90</v>
      </c>
      <c r="W898">
        <v>4</v>
      </c>
    </row>
    <row r="899" spans="1:24">
      <c r="A899" s="1" t="s">
        <v>968</v>
      </c>
      <c r="B899" t="s">
        <v>26</v>
      </c>
      <c r="C899" t="s">
        <v>47</v>
      </c>
      <c r="D899" t="s">
        <v>44</v>
      </c>
      <c r="E899" t="s">
        <v>66</v>
      </c>
      <c r="F899" t="s">
        <v>38</v>
      </c>
      <c r="G899" t="s">
        <v>60</v>
      </c>
      <c r="H899" t="s">
        <v>40</v>
      </c>
      <c r="I899" t="s">
        <v>33</v>
      </c>
      <c r="J899" s="2">
        <v>45110</v>
      </c>
      <c r="K899" s="2">
        <v>45113</v>
      </c>
      <c r="L899" s="2">
        <v>45116</v>
      </c>
      <c r="M899" s="2">
        <v>45121</v>
      </c>
      <c r="N899" s="2">
        <v>45130</v>
      </c>
      <c r="O899">
        <v>1</v>
      </c>
      <c r="P899">
        <v>1</v>
      </c>
      <c r="Q899">
        <v>1</v>
      </c>
      <c r="R899">
        <v>1</v>
      </c>
      <c r="S899">
        <v>0</v>
      </c>
      <c r="T899" t="s">
        <v>61</v>
      </c>
      <c r="U899">
        <v>66</v>
      </c>
      <c r="V899">
        <v>20</v>
      </c>
      <c r="W899">
        <v>15</v>
      </c>
      <c r="X899">
        <v>2699498</v>
      </c>
    </row>
    <row r="900" spans="1:24">
      <c r="A900" s="1" t="s">
        <v>969</v>
      </c>
      <c r="B900" t="s">
        <v>70</v>
      </c>
      <c r="C900" t="s">
        <v>78</v>
      </c>
      <c r="D900" t="s">
        <v>28</v>
      </c>
      <c r="E900" t="s">
        <v>66</v>
      </c>
      <c r="F900" t="s">
        <v>76</v>
      </c>
      <c r="G900" t="s">
        <v>45</v>
      </c>
      <c r="H900" t="s">
        <v>40</v>
      </c>
      <c r="I900" t="s">
        <v>33</v>
      </c>
      <c r="J900" s="2">
        <v>45468</v>
      </c>
      <c r="K900" s="2">
        <v>45470</v>
      </c>
      <c r="L900" s="2">
        <v>45473</v>
      </c>
      <c r="M900" s="2">
        <v>45476</v>
      </c>
      <c r="N900" s="2">
        <v>45496</v>
      </c>
      <c r="O900">
        <v>1</v>
      </c>
      <c r="P900">
        <v>0</v>
      </c>
      <c r="Q900">
        <v>0</v>
      </c>
      <c r="R900">
        <v>0</v>
      </c>
      <c r="S900">
        <v>1</v>
      </c>
      <c r="T900" t="s">
        <v>34</v>
      </c>
      <c r="U900">
        <v>84</v>
      </c>
      <c r="W900">
        <v>9</v>
      </c>
    </row>
    <row r="901" spans="1:24">
      <c r="A901" s="1" t="s">
        <v>970</v>
      </c>
      <c r="B901" t="s">
        <v>36</v>
      </c>
      <c r="C901" t="s">
        <v>47</v>
      </c>
      <c r="D901" t="s">
        <v>52</v>
      </c>
      <c r="E901" t="s">
        <v>63</v>
      </c>
      <c r="F901" t="s">
        <v>76</v>
      </c>
      <c r="G901" t="s">
        <v>55</v>
      </c>
      <c r="H901" t="s">
        <v>56</v>
      </c>
      <c r="I901" t="s">
        <v>33</v>
      </c>
      <c r="J901" s="2">
        <v>45237</v>
      </c>
      <c r="K901" s="2">
        <v>45238</v>
      </c>
      <c r="L901" s="2">
        <v>45242</v>
      </c>
      <c r="M901" s="2">
        <v>45245</v>
      </c>
      <c r="N901" s="2">
        <v>45260</v>
      </c>
      <c r="O901">
        <v>1</v>
      </c>
      <c r="P901">
        <v>0</v>
      </c>
      <c r="Q901">
        <v>0</v>
      </c>
      <c r="R901">
        <v>0</v>
      </c>
      <c r="S901">
        <v>0</v>
      </c>
      <c r="T901" t="s">
        <v>34</v>
      </c>
      <c r="U901">
        <v>46</v>
      </c>
      <c r="W901">
        <v>8</v>
      </c>
    </row>
    <row r="902" spans="1:24">
      <c r="A902" s="1" t="s">
        <v>971</v>
      </c>
      <c r="B902" t="s">
        <v>70</v>
      </c>
      <c r="C902" t="s">
        <v>37</v>
      </c>
      <c r="D902" t="s">
        <v>73</v>
      </c>
      <c r="E902" t="s">
        <v>66</v>
      </c>
      <c r="F902" t="s">
        <v>64</v>
      </c>
      <c r="G902" t="s">
        <v>55</v>
      </c>
      <c r="H902" t="s">
        <v>32</v>
      </c>
      <c r="I902" t="s">
        <v>41</v>
      </c>
      <c r="J902" s="2">
        <v>45204</v>
      </c>
      <c r="K902" s="2">
        <v>45207</v>
      </c>
      <c r="L902" s="2">
        <v>45217</v>
      </c>
      <c r="M902" s="2">
        <v>45222</v>
      </c>
      <c r="N902" s="2">
        <v>45244</v>
      </c>
      <c r="O902">
        <v>1</v>
      </c>
      <c r="P902">
        <v>1</v>
      </c>
      <c r="Q902">
        <v>0</v>
      </c>
      <c r="R902">
        <v>0</v>
      </c>
      <c r="S902">
        <v>1</v>
      </c>
      <c r="T902" t="s">
        <v>34</v>
      </c>
      <c r="U902">
        <v>85</v>
      </c>
      <c r="W902">
        <v>1</v>
      </c>
    </row>
    <row r="903" spans="1:24">
      <c r="A903" s="1" t="s">
        <v>972</v>
      </c>
      <c r="B903" t="s">
        <v>70</v>
      </c>
      <c r="C903" t="s">
        <v>78</v>
      </c>
      <c r="D903" t="s">
        <v>73</v>
      </c>
      <c r="E903" t="s">
        <v>29</v>
      </c>
      <c r="F903" t="s">
        <v>38</v>
      </c>
      <c r="G903" t="s">
        <v>39</v>
      </c>
      <c r="H903" t="s">
        <v>40</v>
      </c>
      <c r="I903" t="s">
        <v>41</v>
      </c>
      <c r="J903" s="2">
        <v>45468</v>
      </c>
      <c r="K903" s="2">
        <v>45470</v>
      </c>
      <c r="L903" s="2">
        <v>45480</v>
      </c>
      <c r="M903" s="2">
        <v>45484</v>
      </c>
      <c r="N903" s="2">
        <v>45489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74</v>
      </c>
      <c r="U903">
        <v>58</v>
      </c>
      <c r="W903">
        <v>6</v>
      </c>
    </row>
    <row r="904" spans="1:24">
      <c r="A904" s="1" t="s">
        <v>973</v>
      </c>
      <c r="B904" t="s">
        <v>26</v>
      </c>
      <c r="C904" t="s">
        <v>78</v>
      </c>
      <c r="D904" t="s">
        <v>44</v>
      </c>
      <c r="E904" t="s">
        <v>102</v>
      </c>
      <c r="F904" t="s">
        <v>76</v>
      </c>
      <c r="G904" t="s">
        <v>45</v>
      </c>
      <c r="H904" t="s">
        <v>40</v>
      </c>
      <c r="I904" t="s">
        <v>41</v>
      </c>
      <c r="J904" s="2">
        <v>45192</v>
      </c>
      <c r="K904" s="2">
        <v>45195</v>
      </c>
      <c r="L904" s="2">
        <v>45202</v>
      </c>
      <c r="M904" s="2">
        <v>45206</v>
      </c>
      <c r="N904" s="2">
        <v>45210</v>
      </c>
      <c r="O904">
        <v>1</v>
      </c>
      <c r="P904">
        <v>0</v>
      </c>
      <c r="Q904">
        <v>0</v>
      </c>
      <c r="R904">
        <v>0</v>
      </c>
      <c r="S904">
        <v>0</v>
      </c>
      <c r="T904" t="s">
        <v>34</v>
      </c>
      <c r="U904">
        <v>83</v>
      </c>
      <c r="W904">
        <v>6</v>
      </c>
    </row>
    <row r="905" spans="1:24">
      <c r="A905" s="1" t="s">
        <v>974</v>
      </c>
      <c r="B905" t="s">
        <v>43</v>
      </c>
      <c r="C905" t="s">
        <v>37</v>
      </c>
      <c r="D905" t="s">
        <v>52</v>
      </c>
      <c r="E905" t="s">
        <v>102</v>
      </c>
      <c r="F905" t="s">
        <v>64</v>
      </c>
      <c r="G905" t="s">
        <v>55</v>
      </c>
      <c r="H905" t="s">
        <v>56</v>
      </c>
      <c r="I905" t="s">
        <v>33</v>
      </c>
      <c r="J905" s="2">
        <v>45220</v>
      </c>
      <c r="K905" s="2">
        <v>45221</v>
      </c>
      <c r="L905" s="2">
        <v>45224</v>
      </c>
      <c r="M905" s="2">
        <v>45227</v>
      </c>
      <c r="N905" s="2">
        <v>45237</v>
      </c>
      <c r="O905">
        <v>1</v>
      </c>
      <c r="P905">
        <v>0</v>
      </c>
      <c r="Q905">
        <v>0</v>
      </c>
      <c r="R905">
        <v>0</v>
      </c>
      <c r="S905">
        <v>0</v>
      </c>
      <c r="T905" t="s">
        <v>34</v>
      </c>
      <c r="U905">
        <v>89</v>
      </c>
      <c r="W905">
        <v>3</v>
      </c>
    </row>
    <row r="906" spans="1:24">
      <c r="A906" s="1" t="s">
        <v>975</v>
      </c>
      <c r="B906" t="s">
        <v>26</v>
      </c>
      <c r="C906" t="s">
        <v>78</v>
      </c>
      <c r="D906" t="s">
        <v>28</v>
      </c>
      <c r="E906" t="s">
        <v>102</v>
      </c>
      <c r="F906" t="s">
        <v>38</v>
      </c>
      <c r="G906" t="s">
        <v>31</v>
      </c>
      <c r="H906" t="s">
        <v>56</v>
      </c>
      <c r="I906" t="s">
        <v>33</v>
      </c>
      <c r="J906" s="2">
        <v>45104</v>
      </c>
      <c r="K906" s="2">
        <v>45105</v>
      </c>
      <c r="L906" s="2">
        <v>45109</v>
      </c>
      <c r="M906" s="2">
        <v>45111</v>
      </c>
      <c r="N906" s="2">
        <v>45120</v>
      </c>
      <c r="O906">
        <v>1</v>
      </c>
      <c r="P906">
        <v>1</v>
      </c>
      <c r="Q906">
        <v>0</v>
      </c>
      <c r="R906">
        <v>0</v>
      </c>
      <c r="S906">
        <v>0</v>
      </c>
      <c r="T906" t="s">
        <v>34</v>
      </c>
      <c r="U906">
        <v>81</v>
      </c>
      <c r="W906">
        <v>6</v>
      </c>
    </row>
    <row r="907" spans="1:24">
      <c r="A907" s="1" t="s">
        <v>976</v>
      </c>
      <c r="B907" t="s">
        <v>58</v>
      </c>
      <c r="C907" t="s">
        <v>37</v>
      </c>
      <c r="D907" t="s">
        <v>44</v>
      </c>
      <c r="E907" t="s">
        <v>29</v>
      </c>
      <c r="F907" t="s">
        <v>38</v>
      </c>
      <c r="G907" t="s">
        <v>60</v>
      </c>
      <c r="H907" t="s">
        <v>40</v>
      </c>
      <c r="I907" t="s">
        <v>41</v>
      </c>
      <c r="J907" s="2">
        <v>45420</v>
      </c>
      <c r="K907" s="2">
        <v>45423</v>
      </c>
      <c r="L907" s="2">
        <v>45426</v>
      </c>
      <c r="M907" s="2">
        <v>45430</v>
      </c>
      <c r="N907" s="2">
        <v>45430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74</v>
      </c>
      <c r="U907">
        <v>87</v>
      </c>
      <c r="W907">
        <v>3</v>
      </c>
    </row>
    <row r="908" spans="1:24">
      <c r="A908" s="1" t="s">
        <v>977</v>
      </c>
      <c r="B908" t="s">
        <v>26</v>
      </c>
      <c r="C908" t="s">
        <v>37</v>
      </c>
      <c r="D908" t="s">
        <v>52</v>
      </c>
      <c r="E908" t="s">
        <v>66</v>
      </c>
      <c r="F908" t="s">
        <v>48</v>
      </c>
      <c r="G908" t="s">
        <v>31</v>
      </c>
      <c r="H908" t="s">
        <v>56</v>
      </c>
      <c r="I908" t="s">
        <v>33</v>
      </c>
      <c r="J908" s="2">
        <v>44955</v>
      </c>
      <c r="K908" s="2">
        <v>44959</v>
      </c>
      <c r="L908" s="2">
        <v>44967</v>
      </c>
      <c r="M908" s="2">
        <v>44969</v>
      </c>
      <c r="N908" s="2">
        <v>44969</v>
      </c>
      <c r="O908">
        <v>1</v>
      </c>
      <c r="P908">
        <v>0</v>
      </c>
      <c r="Q908">
        <v>0</v>
      </c>
      <c r="R908">
        <v>0</v>
      </c>
      <c r="S908">
        <v>0</v>
      </c>
      <c r="T908" t="s">
        <v>34</v>
      </c>
      <c r="U908">
        <v>51</v>
      </c>
      <c r="W908">
        <v>3</v>
      </c>
    </row>
    <row r="909" spans="1:24">
      <c r="A909" s="1" t="s">
        <v>978</v>
      </c>
      <c r="B909" t="s">
        <v>36</v>
      </c>
      <c r="C909" t="s">
        <v>27</v>
      </c>
      <c r="D909" t="s">
        <v>73</v>
      </c>
      <c r="E909" t="s">
        <v>63</v>
      </c>
      <c r="F909" t="s">
        <v>30</v>
      </c>
      <c r="G909" t="s">
        <v>45</v>
      </c>
      <c r="H909" t="s">
        <v>32</v>
      </c>
      <c r="I909" t="s">
        <v>33</v>
      </c>
      <c r="J909" s="2">
        <v>45052</v>
      </c>
      <c r="K909" s="2">
        <v>45057</v>
      </c>
      <c r="L909" s="2">
        <v>45064</v>
      </c>
      <c r="M909" s="2">
        <v>45070</v>
      </c>
      <c r="N909" s="2">
        <v>45071</v>
      </c>
      <c r="O909">
        <v>1</v>
      </c>
      <c r="P909">
        <v>0</v>
      </c>
      <c r="Q909">
        <v>0</v>
      </c>
      <c r="R909">
        <v>0</v>
      </c>
      <c r="S909">
        <v>0</v>
      </c>
      <c r="T909" t="s">
        <v>34</v>
      </c>
      <c r="U909">
        <v>77</v>
      </c>
      <c r="W909">
        <v>2</v>
      </c>
    </row>
    <row r="910" spans="1:24">
      <c r="A910" s="1" t="s">
        <v>979</v>
      </c>
      <c r="B910" t="s">
        <v>36</v>
      </c>
      <c r="C910" t="s">
        <v>78</v>
      </c>
      <c r="D910" t="s">
        <v>59</v>
      </c>
      <c r="E910" t="s">
        <v>66</v>
      </c>
      <c r="F910" t="s">
        <v>48</v>
      </c>
      <c r="G910" t="s">
        <v>45</v>
      </c>
      <c r="H910" t="s">
        <v>40</v>
      </c>
      <c r="I910" t="s">
        <v>33</v>
      </c>
      <c r="J910" s="2">
        <v>45470</v>
      </c>
      <c r="K910" s="2">
        <v>45472</v>
      </c>
      <c r="L910" s="2">
        <v>45475</v>
      </c>
      <c r="M910" s="2">
        <v>45477</v>
      </c>
      <c r="N910" s="2">
        <v>45496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74</v>
      </c>
      <c r="U910">
        <v>70</v>
      </c>
      <c r="W910">
        <v>7</v>
      </c>
    </row>
    <row r="911" spans="1:24">
      <c r="A911" s="1" t="s">
        <v>980</v>
      </c>
      <c r="B911" t="s">
        <v>36</v>
      </c>
      <c r="C911" t="s">
        <v>71</v>
      </c>
      <c r="D911" t="s">
        <v>44</v>
      </c>
      <c r="E911" t="s">
        <v>63</v>
      </c>
      <c r="F911" t="s">
        <v>67</v>
      </c>
      <c r="G911" t="s">
        <v>55</v>
      </c>
      <c r="H911" t="s">
        <v>40</v>
      </c>
      <c r="I911" t="s">
        <v>33</v>
      </c>
      <c r="J911" s="2">
        <v>45326</v>
      </c>
      <c r="K911" s="2">
        <v>45330</v>
      </c>
      <c r="L911" s="2">
        <v>45339</v>
      </c>
      <c r="M911" s="2">
        <v>45343</v>
      </c>
      <c r="N911" s="2">
        <v>45340</v>
      </c>
      <c r="O911">
        <v>1</v>
      </c>
      <c r="P911">
        <v>1</v>
      </c>
      <c r="Q911">
        <v>0</v>
      </c>
      <c r="R911">
        <v>0</v>
      </c>
      <c r="S911">
        <v>0</v>
      </c>
      <c r="T911" t="s">
        <v>34</v>
      </c>
      <c r="U911">
        <v>80</v>
      </c>
      <c r="W911">
        <v>4</v>
      </c>
    </row>
    <row r="912" spans="1:24">
      <c r="A912" s="1" t="s">
        <v>981</v>
      </c>
      <c r="B912" t="s">
        <v>43</v>
      </c>
      <c r="C912" t="s">
        <v>78</v>
      </c>
      <c r="D912" t="s">
        <v>59</v>
      </c>
      <c r="E912" t="s">
        <v>54</v>
      </c>
      <c r="F912" t="s">
        <v>48</v>
      </c>
      <c r="G912" t="s">
        <v>55</v>
      </c>
      <c r="H912" t="s">
        <v>56</v>
      </c>
      <c r="I912" t="s">
        <v>33</v>
      </c>
      <c r="J912" s="2">
        <v>45108</v>
      </c>
      <c r="K912" s="2">
        <v>45110</v>
      </c>
      <c r="L912" s="2">
        <v>45120</v>
      </c>
      <c r="M912" s="2">
        <v>45124</v>
      </c>
      <c r="N912" s="2">
        <v>45127</v>
      </c>
      <c r="O912">
        <v>1</v>
      </c>
      <c r="P912">
        <v>1</v>
      </c>
      <c r="Q912">
        <v>1</v>
      </c>
      <c r="R912">
        <v>1</v>
      </c>
      <c r="S912">
        <v>0</v>
      </c>
      <c r="T912" t="s">
        <v>61</v>
      </c>
      <c r="U912">
        <v>65</v>
      </c>
      <c r="V912">
        <v>19</v>
      </c>
      <c r="W912">
        <v>9</v>
      </c>
      <c r="X912">
        <v>1540706</v>
      </c>
    </row>
    <row r="913" spans="1:25">
      <c r="A913" s="1" t="s">
        <v>982</v>
      </c>
      <c r="B913" t="s">
        <v>58</v>
      </c>
      <c r="C913" t="s">
        <v>78</v>
      </c>
      <c r="D913" t="s">
        <v>44</v>
      </c>
      <c r="E913" t="s">
        <v>54</v>
      </c>
      <c r="F913" t="s">
        <v>48</v>
      </c>
      <c r="G913" t="s">
        <v>45</v>
      </c>
      <c r="H913" t="s">
        <v>56</v>
      </c>
      <c r="I913" t="s">
        <v>41</v>
      </c>
      <c r="J913" s="2">
        <v>45398</v>
      </c>
      <c r="K913" s="2">
        <v>45402</v>
      </c>
      <c r="L913" s="2">
        <v>45406</v>
      </c>
      <c r="M913" s="2">
        <v>45413</v>
      </c>
      <c r="N913" s="2">
        <v>45420</v>
      </c>
      <c r="O913">
        <v>1</v>
      </c>
      <c r="P913">
        <v>1</v>
      </c>
      <c r="Q913">
        <v>1</v>
      </c>
      <c r="R913">
        <v>1</v>
      </c>
      <c r="S913">
        <v>0</v>
      </c>
      <c r="T913" t="s">
        <v>61</v>
      </c>
      <c r="U913">
        <v>81</v>
      </c>
      <c r="V913">
        <v>22</v>
      </c>
      <c r="W913">
        <v>6</v>
      </c>
      <c r="X913">
        <v>2081546</v>
      </c>
    </row>
    <row r="914" spans="1:25">
      <c r="A914" s="1" t="s">
        <v>983</v>
      </c>
      <c r="B914" t="s">
        <v>70</v>
      </c>
      <c r="C914" t="s">
        <v>27</v>
      </c>
      <c r="D914" t="s">
        <v>73</v>
      </c>
      <c r="E914" t="s">
        <v>66</v>
      </c>
      <c r="F914" t="s">
        <v>64</v>
      </c>
      <c r="G914" t="s">
        <v>55</v>
      </c>
      <c r="H914" t="s">
        <v>56</v>
      </c>
      <c r="I914" t="s">
        <v>33</v>
      </c>
      <c r="J914" s="2">
        <v>45434</v>
      </c>
      <c r="K914" s="2">
        <v>45436</v>
      </c>
      <c r="L914" s="2">
        <v>45440</v>
      </c>
      <c r="M914" s="2">
        <v>45444</v>
      </c>
      <c r="N914" s="2">
        <v>45456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74</v>
      </c>
      <c r="U914">
        <v>72</v>
      </c>
      <c r="W914">
        <v>1</v>
      </c>
    </row>
    <row r="915" spans="1:25">
      <c r="A915" s="1" t="s">
        <v>984</v>
      </c>
      <c r="B915" t="s">
        <v>58</v>
      </c>
      <c r="C915" t="s">
        <v>71</v>
      </c>
      <c r="D915" t="s">
        <v>59</v>
      </c>
      <c r="E915" t="s">
        <v>29</v>
      </c>
      <c r="F915" t="s">
        <v>64</v>
      </c>
      <c r="G915" t="s">
        <v>55</v>
      </c>
      <c r="H915" t="s">
        <v>40</v>
      </c>
      <c r="I915" t="s">
        <v>41</v>
      </c>
      <c r="J915" s="2">
        <v>45350</v>
      </c>
      <c r="K915" s="2">
        <v>45353</v>
      </c>
      <c r="L915" s="2">
        <v>45356</v>
      </c>
      <c r="M915" s="2">
        <v>45360</v>
      </c>
      <c r="N915" s="2">
        <v>45367</v>
      </c>
      <c r="O915">
        <v>1</v>
      </c>
      <c r="P915">
        <v>1</v>
      </c>
      <c r="Q915">
        <v>0</v>
      </c>
      <c r="R915">
        <v>0</v>
      </c>
      <c r="S915">
        <v>0</v>
      </c>
      <c r="T915" t="s">
        <v>34</v>
      </c>
      <c r="U915">
        <v>50</v>
      </c>
      <c r="W915">
        <v>3</v>
      </c>
    </row>
    <row r="916" spans="1:25">
      <c r="A916" s="1" t="s">
        <v>985</v>
      </c>
      <c r="B916" t="s">
        <v>43</v>
      </c>
      <c r="C916" t="s">
        <v>71</v>
      </c>
      <c r="D916" t="s">
        <v>59</v>
      </c>
      <c r="E916" t="s">
        <v>66</v>
      </c>
      <c r="F916" t="s">
        <v>38</v>
      </c>
      <c r="G916" t="s">
        <v>60</v>
      </c>
      <c r="H916" t="s">
        <v>32</v>
      </c>
      <c r="I916" t="s">
        <v>33</v>
      </c>
      <c r="J916" s="2">
        <v>45438</v>
      </c>
      <c r="K916" s="2">
        <v>45443</v>
      </c>
      <c r="L916" s="2">
        <v>45448</v>
      </c>
      <c r="M916" s="2">
        <v>45451</v>
      </c>
      <c r="N916" s="2">
        <v>45465</v>
      </c>
      <c r="O916">
        <v>1</v>
      </c>
      <c r="P916">
        <v>1</v>
      </c>
      <c r="Q916">
        <v>1</v>
      </c>
      <c r="R916">
        <v>1</v>
      </c>
      <c r="S916">
        <v>0</v>
      </c>
      <c r="T916" t="s">
        <v>61</v>
      </c>
      <c r="U916">
        <v>98</v>
      </c>
      <c r="V916">
        <v>27</v>
      </c>
      <c r="W916">
        <v>6</v>
      </c>
      <c r="X916">
        <v>912130</v>
      </c>
    </row>
    <row r="917" spans="1:25">
      <c r="A917" s="1" t="s">
        <v>986</v>
      </c>
      <c r="B917" t="s">
        <v>36</v>
      </c>
      <c r="C917" t="s">
        <v>27</v>
      </c>
      <c r="D917" t="s">
        <v>28</v>
      </c>
      <c r="E917" t="s">
        <v>54</v>
      </c>
      <c r="F917" t="s">
        <v>76</v>
      </c>
      <c r="G917" t="s">
        <v>55</v>
      </c>
      <c r="H917" t="s">
        <v>40</v>
      </c>
      <c r="I917" t="s">
        <v>33</v>
      </c>
      <c r="J917" s="2">
        <v>45093</v>
      </c>
      <c r="K917" s="2">
        <v>45098</v>
      </c>
      <c r="L917" s="2">
        <v>45103</v>
      </c>
      <c r="M917" s="2">
        <v>45110</v>
      </c>
      <c r="N917" s="2">
        <v>45119</v>
      </c>
      <c r="O917">
        <v>1</v>
      </c>
      <c r="P917">
        <v>1</v>
      </c>
      <c r="Q917">
        <v>0</v>
      </c>
      <c r="R917">
        <v>0</v>
      </c>
      <c r="S917">
        <v>0</v>
      </c>
      <c r="T917" t="s">
        <v>34</v>
      </c>
      <c r="U917">
        <v>67</v>
      </c>
      <c r="W917">
        <v>0</v>
      </c>
    </row>
    <row r="918" spans="1:25">
      <c r="A918" s="1" t="s">
        <v>987</v>
      </c>
      <c r="B918" t="s">
        <v>26</v>
      </c>
      <c r="C918" t="s">
        <v>27</v>
      </c>
      <c r="D918" t="s">
        <v>59</v>
      </c>
      <c r="E918" t="s">
        <v>29</v>
      </c>
      <c r="F918" t="s">
        <v>64</v>
      </c>
      <c r="G918" t="s">
        <v>31</v>
      </c>
      <c r="H918" t="s">
        <v>40</v>
      </c>
      <c r="I918" t="s">
        <v>33</v>
      </c>
      <c r="J918" s="2">
        <v>45309</v>
      </c>
      <c r="K918" s="2">
        <v>45311</v>
      </c>
      <c r="L918" s="2">
        <v>45318</v>
      </c>
      <c r="M918" s="2">
        <v>45322</v>
      </c>
      <c r="N918" s="2">
        <v>45328</v>
      </c>
      <c r="O918">
        <v>1</v>
      </c>
      <c r="P918">
        <v>1</v>
      </c>
      <c r="Q918">
        <v>0</v>
      </c>
      <c r="R918">
        <v>0</v>
      </c>
      <c r="S918">
        <v>0</v>
      </c>
      <c r="T918" t="s">
        <v>34</v>
      </c>
      <c r="U918">
        <v>67</v>
      </c>
      <c r="W918">
        <v>0</v>
      </c>
    </row>
    <row r="919" spans="1:25">
      <c r="A919" s="1" t="s">
        <v>988</v>
      </c>
      <c r="B919" t="s">
        <v>90</v>
      </c>
      <c r="C919" t="s">
        <v>78</v>
      </c>
      <c r="D919" t="s">
        <v>59</v>
      </c>
      <c r="E919" t="s">
        <v>66</v>
      </c>
      <c r="F919" t="s">
        <v>67</v>
      </c>
      <c r="G919" t="s">
        <v>45</v>
      </c>
      <c r="H919" t="s">
        <v>32</v>
      </c>
      <c r="I919" t="s">
        <v>33</v>
      </c>
      <c r="J919" s="2">
        <v>45260</v>
      </c>
      <c r="K919" s="2">
        <v>45264</v>
      </c>
      <c r="L919" s="2">
        <v>45268</v>
      </c>
      <c r="M919" s="2">
        <v>45272</v>
      </c>
      <c r="N919" s="2">
        <v>45281</v>
      </c>
      <c r="O919">
        <v>1</v>
      </c>
      <c r="P919">
        <v>1</v>
      </c>
      <c r="Q919">
        <v>1</v>
      </c>
      <c r="R919">
        <v>1</v>
      </c>
      <c r="S919">
        <v>0</v>
      </c>
      <c r="T919" t="s">
        <v>61</v>
      </c>
      <c r="U919">
        <v>87</v>
      </c>
      <c r="V919">
        <v>21</v>
      </c>
      <c r="W919">
        <v>8</v>
      </c>
      <c r="X919">
        <v>2073543</v>
      </c>
    </row>
    <row r="920" spans="1:25">
      <c r="A920" s="1" t="s">
        <v>989</v>
      </c>
      <c r="B920" t="s">
        <v>26</v>
      </c>
      <c r="C920" t="s">
        <v>78</v>
      </c>
      <c r="D920" t="s">
        <v>44</v>
      </c>
      <c r="E920" t="s">
        <v>63</v>
      </c>
      <c r="F920" t="s">
        <v>48</v>
      </c>
      <c r="G920" t="s">
        <v>31</v>
      </c>
      <c r="H920" t="s">
        <v>40</v>
      </c>
      <c r="I920" t="s">
        <v>33</v>
      </c>
      <c r="J920" s="2">
        <v>45270</v>
      </c>
      <c r="K920" s="2">
        <v>45275</v>
      </c>
      <c r="L920" s="2">
        <v>45280</v>
      </c>
      <c r="M920" s="2">
        <v>45284</v>
      </c>
      <c r="N920" s="2">
        <v>45283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74</v>
      </c>
      <c r="U920">
        <v>52</v>
      </c>
      <c r="W920">
        <v>9</v>
      </c>
    </row>
    <row r="921" spans="1:25">
      <c r="A921" s="1" t="s">
        <v>990</v>
      </c>
      <c r="B921" t="s">
        <v>26</v>
      </c>
      <c r="C921" t="s">
        <v>27</v>
      </c>
      <c r="D921" t="s">
        <v>44</v>
      </c>
      <c r="E921" t="s">
        <v>54</v>
      </c>
      <c r="F921" t="s">
        <v>67</v>
      </c>
      <c r="G921" t="s">
        <v>60</v>
      </c>
      <c r="H921" t="s">
        <v>32</v>
      </c>
      <c r="I921" t="s">
        <v>41</v>
      </c>
      <c r="J921" s="2">
        <v>45460</v>
      </c>
      <c r="K921" s="2">
        <v>45462</v>
      </c>
      <c r="L921" s="2">
        <v>45468</v>
      </c>
      <c r="M921" s="2">
        <v>45470</v>
      </c>
      <c r="N921" s="2">
        <v>45474</v>
      </c>
      <c r="O921">
        <v>1</v>
      </c>
      <c r="P921">
        <v>1</v>
      </c>
      <c r="Q921">
        <v>0</v>
      </c>
      <c r="R921">
        <v>0</v>
      </c>
      <c r="S921">
        <v>0</v>
      </c>
      <c r="T921" t="s">
        <v>34</v>
      </c>
      <c r="U921">
        <v>99</v>
      </c>
      <c r="W921">
        <v>0</v>
      </c>
    </row>
    <row r="922" spans="1:25">
      <c r="A922" s="1" t="s">
        <v>991</v>
      </c>
      <c r="B922" t="s">
        <v>26</v>
      </c>
      <c r="C922" t="s">
        <v>47</v>
      </c>
      <c r="D922" t="s">
        <v>28</v>
      </c>
      <c r="E922" t="s">
        <v>63</v>
      </c>
      <c r="F922" t="s">
        <v>30</v>
      </c>
      <c r="G922" t="s">
        <v>39</v>
      </c>
      <c r="H922" t="s">
        <v>32</v>
      </c>
      <c r="I922" t="s">
        <v>33</v>
      </c>
      <c r="J922" s="2">
        <v>45395</v>
      </c>
      <c r="K922" s="2">
        <v>45400</v>
      </c>
      <c r="L922" s="2">
        <v>45406</v>
      </c>
      <c r="M922" s="2">
        <v>45410</v>
      </c>
      <c r="N922" s="2">
        <v>45418</v>
      </c>
      <c r="O922">
        <v>1</v>
      </c>
      <c r="P922">
        <v>1</v>
      </c>
      <c r="Q922">
        <v>1</v>
      </c>
      <c r="R922">
        <v>0</v>
      </c>
      <c r="S922">
        <v>0</v>
      </c>
      <c r="T922" t="s">
        <v>49</v>
      </c>
      <c r="U922">
        <v>55</v>
      </c>
      <c r="W922">
        <v>14</v>
      </c>
      <c r="X922">
        <v>3068408</v>
      </c>
      <c r="Y922" t="s">
        <v>50</v>
      </c>
    </row>
    <row r="923" spans="1:25">
      <c r="A923" s="1" t="s">
        <v>992</v>
      </c>
      <c r="B923" t="s">
        <v>26</v>
      </c>
      <c r="C923" t="s">
        <v>47</v>
      </c>
      <c r="D923" t="s">
        <v>59</v>
      </c>
      <c r="E923" t="s">
        <v>29</v>
      </c>
      <c r="F923" t="s">
        <v>30</v>
      </c>
      <c r="G923" t="s">
        <v>31</v>
      </c>
      <c r="H923" t="s">
        <v>40</v>
      </c>
      <c r="I923" t="s">
        <v>41</v>
      </c>
      <c r="J923" s="2">
        <v>45034</v>
      </c>
      <c r="K923" s="2">
        <v>45035</v>
      </c>
      <c r="L923" s="2">
        <v>45038</v>
      </c>
      <c r="M923" s="2">
        <v>45045</v>
      </c>
      <c r="N923" s="2">
        <v>45049</v>
      </c>
      <c r="O923">
        <v>1</v>
      </c>
      <c r="P923">
        <v>1</v>
      </c>
      <c r="Q923">
        <v>0</v>
      </c>
      <c r="R923">
        <v>0</v>
      </c>
      <c r="S923">
        <v>0</v>
      </c>
      <c r="T923" t="s">
        <v>34</v>
      </c>
      <c r="U923">
        <v>86</v>
      </c>
      <c r="W923">
        <v>13</v>
      </c>
    </row>
    <row r="924" spans="1:25">
      <c r="A924" s="1" t="s">
        <v>993</v>
      </c>
      <c r="B924" t="s">
        <v>70</v>
      </c>
      <c r="C924" t="s">
        <v>37</v>
      </c>
      <c r="D924" t="s">
        <v>59</v>
      </c>
      <c r="E924" t="s">
        <v>102</v>
      </c>
      <c r="F924" t="s">
        <v>67</v>
      </c>
      <c r="G924" t="s">
        <v>31</v>
      </c>
      <c r="H924" t="s">
        <v>32</v>
      </c>
      <c r="I924" t="s">
        <v>33</v>
      </c>
      <c r="J924" s="2">
        <v>45023</v>
      </c>
      <c r="K924" s="2">
        <v>45026</v>
      </c>
      <c r="L924" s="2">
        <v>45032</v>
      </c>
      <c r="M924" s="2">
        <v>45039</v>
      </c>
      <c r="N924" s="2">
        <v>45048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74</v>
      </c>
      <c r="U924">
        <v>82</v>
      </c>
      <c r="W924">
        <v>4</v>
      </c>
    </row>
    <row r="925" spans="1:25">
      <c r="A925" s="1" t="s">
        <v>994</v>
      </c>
      <c r="B925" t="s">
        <v>70</v>
      </c>
      <c r="C925" t="s">
        <v>47</v>
      </c>
      <c r="D925" t="s">
        <v>44</v>
      </c>
      <c r="E925" t="s">
        <v>66</v>
      </c>
      <c r="F925" t="s">
        <v>38</v>
      </c>
      <c r="G925" t="s">
        <v>45</v>
      </c>
      <c r="H925" t="s">
        <v>32</v>
      </c>
      <c r="I925" t="s">
        <v>41</v>
      </c>
      <c r="J925" s="2">
        <v>45281</v>
      </c>
      <c r="K925" s="2">
        <v>45282</v>
      </c>
      <c r="L925" s="2">
        <v>45292</v>
      </c>
      <c r="M925" s="2">
        <v>45299</v>
      </c>
      <c r="N925" s="2">
        <v>45316</v>
      </c>
      <c r="O925">
        <v>1</v>
      </c>
      <c r="P925">
        <v>1</v>
      </c>
      <c r="Q925">
        <v>1</v>
      </c>
      <c r="R925">
        <v>1</v>
      </c>
      <c r="S925">
        <v>0</v>
      </c>
      <c r="T925" t="s">
        <v>61</v>
      </c>
      <c r="U925">
        <v>73</v>
      </c>
      <c r="V925">
        <v>35</v>
      </c>
      <c r="W925">
        <v>15</v>
      </c>
      <c r="X925">
        <v>2735245</v>
      </c>
    </row>
    <row r="926" spans="1:25">
      <c r="A926" s="1" t="s">
        <v>995</v>
      </c>
      <c r="B926" t="s">
        <v>90</v>
      </c>
      <c r="C926" t="s">
        <v>78</v>
      </c>
      <c r="D926" t="s">
        <v>44</v>
      </c>
      <c r="E926" t="s">
        <v>63</v>
      </c>
      <c r="F926" t="s">
        <v>30</v>
      </c>
      <c r="G926" t="s">
        <v>45</v>
      </c>
      <c r="H926" t="s">
        <v>32</v>
      </c>
      <c r="I926" t="s">
        <v>41</v>
      </c>
      <c r="J926" s="2">
        <v>44934</v>
      </c>
      <c r="K926" s="2">
        <v>44937</v>
      </c>
      <c r="L926" s="2">
        <v>44946</v>
      </c>
      <c r="M926" s="2">
        <v>44950</v>
      </c>
      <c r="N926" s="2">
        <v>44955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74</v>
      </c>
      <c r="U926">
        <v>95</v>
      </c>
      <c r="W926">
        <v>7</v>
      </c>
    </row>
    <row r="927" spans="1:25">
      <c r="A927" s="1" t="s">
        <v>996</v>
      </c>
      <c r="B927" t="s">
        <v>70</v>
      </c>
      <c r="C927" t="s">
        <v>47</v>
      </c>
      <c r="D927" t="s">
        <v>59</v>
      </c>
      <c r="E927" t="s">
        <v>29</v>
      </c>
      <c r="F927" t="s">
        <v>64</v>
      </c>
      <c r="G927" t="s">
        <v>60</v>
      </c>
      <c r="H927" t="s">
        <v>40</v>
      </c>
      <c r="I927" t="s">
        <v>33</v>
      </c>
      <c r="J927" s="2">
        <v>45423</v>
      </c>
      <c r="K927" s="2">
        <v>45428</v>
      </c>
      <c r="L927" s="2">
        <v>45434</v>
      </c>
      <c r="M927" s="2">
        <v>45440</v>
      </c>
      <c r="N927" s="2">
        <v>45459</v>
      </c>
      <c r="O927">
        <v>1</v>
      </c>
      <c r="P927">
        <v>1</v>
      </c>
      <c r="Q927">
        <v>0</v>
      </c>
      <c r="R927">
        <v>0</v>
      </c>
      <c r="S927">
        <v>0</v>
      </c>
      <c r="T927" t="s">
        <v>34</v>
      </c>
      <c r="U927">
        <v>100</v>
      </c>
      <c r="W927">
        <v>8</v>
      </c>
    </row>
    <row r="928" spans="1:25">
      <c r="A928" s="1" t="s">
        <v>997</v>
      </c>
      <c r="B928" t="s">
        <v>70</v>
      </c>
      <c r="C928" t="s">
        <v>47</v>
      </c>
      <c r="D928" t="s">
        <v>44</v>
      </c>
      <c r="E928" t="s">
        <v>102</v>
      </c>
      <c r="F928" t="s">
        <v>30</v>
      </c>
      <c r="G928" t="s">
        <v>31</v>
      </c>
      <c r="H928" t="s">
        <v>40</v>
      </c>
      <c r="I928" t="s">
        <v>41</v>
      </c>
      <c r="J928" s="2">
        <v>45451</v>
      </c>
      <c r="K928" s="2">
        <v>45456</v>
      </c>
      <c r="L928" s="2">
        <v>45459</v>
      </c>
      <c r="M928" s="2">
        <v>45463</v>
      </c>
      <c r="N928" s="2">
        <v>45475</v>
      </c>
      <c r="O928">
        <v>1</v>
      </c>
      <c r="P928">
        <v>1</v>
      </c>
      <c r="Q928">
        <v>0</v>
      </c>
      <c r="R928">
        <v>0</v>
      </c>
      <c r="S928">
        <v>0</v>
      </c>
      <c r="T928" t="s">
        <v>34</v>
      </c>
      <c r="U928">
        <v>49</v>
      </c>
      <c r="W928">
        <v>9</v>
      </c>
    </row>
    <row r="929" spans="1:25">
      <c r="A929" s="1" t="s">
        <v>998</v>
      </c>
      <c r="B929" t="s">
        <v>43</v>
      </c>
      <c r="C929" t="s">
        <v>37</v>
      </c>
      <c r="D929" t="s">
        <v>28</v>
      </c>
      <c r="E929" t="s">
        <v>66</v>
      </c>
      <c r="F929" t="s">
        <v>76</v>
      </c>
      <c r="G929" t="s">
        <v>39</v>
      </c>
      <c r="H929" t="s">
        <v>40</v>
      </c>
      <c r="I929" t="s">
        <v>33</v>
      </c>
      <c r="J929" s="2">
        <v>45189</v>
      </c>
      <c r="K929" s="2">
        <v>45191</v>
      </c>
      <c r="L929" s="2">
        <v>45199</v>
      </c>
      <c r="M929" s="2">
        <v>45206</v>
      </c>
      <c r="N929" s="2">
        <v>45213</v>
      </c>
      <c r="O929">
        <v>1</v>
      </c>
      <c r="P929">
        <v>1</v>
      </c>
      <c r="Q929">
        <v>1</v>
      </c>
      <c r="R929">
        <v>0</v>
      </c>
      <c r="S929">
        <v>0</v>
      </c>
      <c r="T929" t="s">
        <v>49</v>
      </c>
      <c r="U929">
        <v>80</v>
      </c>
      <c r="W929">
        <v>2</v>
      </c>
      <c r="X929">
        <v>724876</v>
      </c>
      <c r="Y929" t="s">
        <v>50</v>
      </c>
    </row>
    <row r="930" spans="1:25">
      <c r="A930" s="1" t="s">
        <v>999</v>
      </c>
      <c r="B930" t="s">
        <v>26</v>
      </c>
      <c r="C930" t="s">
        <v>37</v>
      </c>
      <c r="D930" t="s">
        <v>59</v>
      </c>
      <c r="E930" t="s">
        <v>54</v>
      </c>
      <c r="F930" t="s">
        <v>67</v>
      </c>
      <c r="G930" t="s">
        <v>55</v>
      </c>
      <c r="H930" t="s">
        <v>56</v>
      </c>
      <c r="I930" t="s">
        <v>33</v>
      </c>
      <c r="J930" s="2">
        <v>45011</v>
      </c>
      <c r="K930" s="2">
        <v>45013</v>
      </c>
      <c r="L930" s="2">
        <v>45023</v>
      </c>
      <c r="M930" s="2">
        <v>45030</v>
      </c>
      <c r="N930" s="2">
        <v>45028</v>
      </c>
      <c r="O930">
        <v>1</v>
      </c>
      <c r="P930">
        <v>1</v>
      </c>
      <c r="Q930">
        <v>0</v>
      </c>
      <c r="R930">
        <v>0</v>
      </c>
      <c r="S930">
        <v>0</v>
      </c>
      <c r="T930" t="s">
        <v>34</v>
      </c>
      <c r="U930">
        <v>95</v>
      </c>
      <c r="W930">
        <v>2</v>
      </c>
    </row>
    <row r="931" spans="1:25">
      <c r="A931" s="1" t="s">
        <v>1000</v>
      </c>
      <c r="B931" t="s">
        <v>36</v>
      </c>
      <c r="C931" t="s">
        <v>37</v>
      </c>
      <c r="D931" t="s">
        <v>59</v>
      </c>
      <c r="E931" t="s">
        <v>102</v>
      </c>
      <c r="F931" t="s">
        <v>76</v>
      </c>
      <c r="G931" t="s">
        <v>55</v>
      </c>
      <c r="H931" t="s">
        <v>56</v>
      </c>
      <c r="I931" t="s">
        <v>41</v>
      </c>
      <c r="J931" s="2">
        <v>45020</v>
      </c>
      <c r="K931" s="2">
        <v>45024</v>
      </c>
      <c r="L931" s="2">
        <v>45027</v>
      </c>
      <c r="M931" s="2">
        <v>45033</v>
      </c>
      <c r="N931" s="2">
        <v>45035</v>
      </c>
      <c r="O931">
        <v>1</v>
      </c>
      <c r="P931">
        <v>1</v>
      </c>
      <c r="Q931">
        <v>1</v>
      </c>
      <c r="R931">
        <v>0</v>
      </c>
      <c r="S931">
        <v>0</v>
      </c>
      <c r="T931" t="s">
        <v>49</v>
      </c>
      <c r="U931">
        <v>88</v>
      </c>
      <c r="W931">
        <v>3</v>
      </c>
      <c r="X931">
        <v>826516</v>
      </c>
      <c r="Y931" t="s">
        <v>50</v>
      </c>
    </row>
    <row r="932" spans="1:25">
      <c r="A932" s="1" t="s">
        <v>1001</v>
      </c>
      <c r="B932" t="s">
        <v>26</v>
      </c>
      <c r="C932" t="s">
        <v>37</v>
      </c>
      <c r="D932" t="s">
        <v>44</v>
      </c>
      <c r="E932" t="s">
        <v>29</v>
      </c>
      <c r="F932" t="s">
        <v>30</v>
      </c>
      <c r="G932" t="s">
        <v>31</v>
      </c>
      <c r="H932" t="s">
        <v>56</v>
      </c>
      <c r="I932" t="s">
        <v>41</v>
      </c>
      <c r="J932" s="2">
        <v>45240</v>
      </c>
      <c r="K932" s="2">
        <v>45244</v>
      </c>
      <c r="L932" s="2">
        <v>45252</v>
      </c>
      <c r="M932" s="2">
        <v>45256</v>
      </c>
      <c r="N932" s="2">
        <v>45255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74</v>
      </c>
      <c r="U932">
        <v>96</v>
      </c>
      <c r="W932">
        <v>2</v>
      </c>
    </row>
    <row r="933" spans="1:25">
      <c r="A933" s="1" t="s">
        <v>1002</v>
      </c>
      <c r="B933" t="s">
        <v>90</v>
      </c>
      <c r="C933" t="s">
        <v>37</v>
      </c>
      <c r="D933" t="s">
        <v>73</v>
      </c>
      <c r="E933" t="s">
        <v>29</v>
      </c>
      <c r="F933" t="s">
        <v>38</v>
      </c>
      <c r="G933" t="s">
        <v>45</v>
      </c>
      <c r="H933" t="s">
        <v>40</v>
      </c>
      <c r="I933" t="s">
        <v>41</v>
      </c>
      <c r="J933" s="2">
        <v>45211</v>
      </c>
      <c r="K933" s="2">
        <v>45212</v>
      </c>
      <c r="L933" s="2">
        <v>45220</v>
      </c>
      <c r="M933" s="2">
        <v>45224</v>
      </c>
      <c r="N933" s="2">
        <v>45242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74</v>
      </c>
      <c r="U933">
        <v>81</v>
      </c>
      <c r="W933">
        <v>2</v>
      </c>
    </row>
    <row r="934" spans="1:25">
      <c r="A934" s="1" t="s">
        <v>1003</v>
      </c>
      <c r="B934" t="s">
        <v>90</v>
      </c>
      <c r="C934" t="s">
        <v>78</v>
      </c>
      <c r="D934" t="s">
        <v>44</v>
      </c>
      <c r="E934" t="s">
        <v>54</v>
      </c>
      <c r="F934" t="s">
        <v>67</v>
      </c>
      <c r="G934" t="s">
        <v>31</v>
      </c>
      <c r="H934" t="s">
        <v>40</v>
      </c>
      <c r="I934" t="s">
        <v>41</v>
      </c>
      <c r="J934" s="2">
        <v>44932</v>
      </c>
      <c r="K934" s="2">
        <v>44935</v>
      </c>
      <c r="L934" s="2">
        <v>44942</v>
      </c>
      <c r="M934" s="2">
        <v>44946</v>
      </c>
      <c r="N934" s="2">
        <v>44952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74</v>
      </c>
      <c r="U934">
        <v>64</v>
      </c>
      <c r="W934">
        <v>7</v>
      </c>
    </row>
    <row r="935" spans="1:25">
      <c r="A935" s="1" t="s">
        <v>1004</v>
      </c>
      <c r="B935" t="s">
        <v>43</v>
      </c>
      <c r="C935" t="s">
        <v>47</v>
      </c>
      <c r="D935" t="s">
        <v>44</v>
      </c>
      <c r="E935" t="s">
        <v>54</v>
      </c>
      <c r="F935" t="s">
        <v>48</v>
      </c>
      <c r="G935" t="s">
        <v>45</v>
      </c>
      <c r="H935" t="s">
        <v>40</v>
      </c>
      <c r="I935" t="s">
        <v>33</v>
      </c>
      <c r="J935" s="2">
        <v>45401</v>
      </c>
      <c r="K935" s="2">
        <v>45406</v>
      </c>
      <c r="L935" s="2">
        <v>45414</v>
      </c>
      <c r="M935" s="2">
        <v>45419</v>
      </c>
      <c r="N935" s="2">
        <v>45419</v>
      </c>
      <c r="O935">
        <v>1</v>
      </c>
      <c r="P935">
        <v>1</v>
      </c>
      <c r="Q935">
        <v>1</v>
      </c>
      <c r="R935">
        <v>0</v>
      </c>
      <c r="S935">
        <v>1</v>
      </c>
      <c r="T935" t="s">
        <v>49</v>
      </c>
      <c r="U935">
        <v>61</v>
      </c>
      <c r="W935">
        <v>12</v>
      </c>
      <c r="X935">
        <v>3083986</v>
      </c>
      <c r="Y935" t="s">
        <v>87</v>
      </c>
    </row>
    <row r="936" spans="1:25">
      <c r="A936" s="1" t="s">
        <v>1005</v>
      </c>
      <c r="B936" t="s">
        <v>43</v>
      </c>
      <c r="C936" t="s">
        <v>27</v>
      </c>
      <c r="D936" t="s">
        <v>44</v>
      </c>
      <c r="E936" t="s">
        <v>63</v>
      </c>
      <c r="F936" t="s">
        <v>76</v>
      </c>
      <c r="G936" t="s">
        <v>60</v>
      </c>
      <c r="H936" t="s">
        <v>40</v>
      </c>
      <c r="I936" t="s">
        <v>33</v>
      </c>
      <c r="J936" s="2">
        <v>45398</v>
      </c>
      <c r="K936" s="2">
        <v>45402</v>
      </c>
      <c r="L936" s="2">
        <v>45412</v>
      </c>
      <c r="M936" s="2">
        <v>45418</v>
      </c>
      <c r="N936" s="2">
        <v>45422</v>
      </c>
      <c r="O936">
        <v>1</v>
      </c>
      <c r="P936">
        <v>1</v>
      </c>
      <c r="Q936">
        <v>0</v>
      </c>
      <c r="R936">
        <v>0</v>
      </c>
      <c r="S936">
        <v>0</v>
      </c>
      <c r="T936" t="s">
        <v>34</v>
      </c>
      <c r="U936">
        <v>90</v>
      </c>
      <c r="W936">
        <v>0</v>
      </c>
    </row>
    <row r="937" spans="1:25">
      <c r="A937" s="1" t="s">
        <v>1006</v>
      </c>
      <c r="B937" t="s">
        <v>58</v>
      </c>
      <c r="C937" t="s">
        <v>47</v>
      </c>
      <c r="D937" t="s">
        <v>73</v>
      </c>
      <c r="E937" t="s">
        <v>54</v>
      </c>
      <c r="F937" t="s">
        <v>48</v>
      </c>
      <c r="G937" t="s">
        <v>39</v>
      </c>
      <c r="H937" t="s">
        <v>56</v>
      </c>
      <c r="I937" t="s">
        <v>41</v>
      </c>
      <c r="J937" s="2">
        <v>45365</v>
      </c>
      <c r="K937" s="2">
        <v>45369</v>
      </c>
      <c r="L937" s="2">
        <v>45379</v>
      </c>
      <c r="M937" s="2">
        <v>45382</v>
      </c>
      <c r="N937" s="2">
        <v>45387</v>
      </c>
      <c r="O937">
        <v>1</v>
      </c>
      <c r="P937">
        <v>1</v>
      </c>
      <c r="Q937">
        <v>0</v>
      </c>
      <c r="R937">
        <v>0</v>
      </c>
      <c r="S937">
        <v>0</v>
      </c>
      <c r="T937" t="s">
        <v>34</v>
      </c>
      <c r="U937">
        <v>56</v>
      </c>
      <c r="W937">
        <v>8</v>
      </c>
    </row>
    <row r="938" spans="1:25">
      <c r="A938" s="1" t="s">
        <v>1007</v>
      </c>
      <c r="B938" t="s">
        <v>43</v>
      </c>
      <c r="C938" t="s">
        <v>71</v>
      </c>
      <c r="D938" t="s">
        <v>73</v>
      </c>
      <c r="E938" t="s">
        <v>54</v>
      </c>
      <c r="F938" t="s">
        <v>38</v>
      </c>
      <c r="G938" t="s">
        <v>60</v>
      </c>
      <c r="H938" t="s">
        <v>56</v>
      </c>
      <c r="I938" t="s">
        <v>33</v>
      </c>
      <c r="J938" s="2">
        <v>45450</v>
      </c>
      <c r="K938" s="2">
        <v>45455</v>
      </c>
      <c r="L938" s="2">
        <v>45464</v>
      </c>
      <c r="M938" s="2">
        <v>45470</v>
      </c>
      <c r="N938" s="2">
        <v>45466</v>
      </c>
      <c r="O938">
        <v>1</v>
      </c>
      <c r="P938">
        <v>1</v>
      </c>
      <c r="Q938">
        <v>1</v>
      </c>
      <c r="R938">
        <v>0</v>
      </c>
      <c r="S938">
        <v>0</v>
      </c>
      <c r="T938" t="s">
        <v>49</v>
      </c>
      <c r="U938">
        <v>96</v>
      </c>
      <c r="W938">
        <v>5</v>
      </c>
      <c r="X938">
        <v>857401</v>
      </c>
      <c r="Y938" t="s">
        <v>127</v>
      </c>
    </row>
    <row r="939" spans="1:25">
      <c r="A939" s="1" t="s">
        <v>1008</v>
      </c>
      <c r="B939" t="s">
        <v>43</v>
      </c>
      <c r="C939" t="s">
        <v>47</v>
      </c>
      <c r="D939" t="s">
        <v>73</v>
      </c>
      <c r="E939" t="s">
        <v>66</v>
      </c>
      <c r="F939" t="s">
        <v>48</v>
      </c>
      <c r="G939" t="s">
        <v>39</v>
      </c>
      <c r="H939" t="s">
        <v>56</v>
      </c>
      <c r="I939" t="s">
        <v>41</v>
      </c>
      <c r="J939" s="2">
        <v>45220</v>
      </c>
      <c r="K939" s="2">
        <v>45221</v>
      </c>
      <c r="L939" s="2">
        <v>45225</v>
      </c>
      <c r="M939" s="2">
        <v>45230</v>
      </c>
      <c r="N939" s="2">
        <v>45237</v>
      </c>
      <c r="O939">
        <v>1</v>
      </c>
      <c r="P939">
        <v>1</v>
      </c>
      <c r="Q939">
        <v>1</v>
      </c>
      <c r="R939">
        <v>0</v>
      </c>
      <c r="S939">
        <v>0</v>
      </c>
      <c r="T939" t="s">
        <v>49</v>
      </c>
      <c r="U939">
        <v>55</v>
      </c>
      <c r="W939">
        <v>8</v>
      </c>
      <c r="X939">
        <v>2696094</v>
      </c>
      <c r="Y939" t="s">
        <v>87</v>
      </c>
    </row>
    <row r="940" spans="1:25">
      <c r="A940" s="1" t="s">
        <v>1009</v>
      </c>
      <c r="B940" t="s">
        <v>70</v>
      </c>
      <c r="C940" t="s">
        <v>27</v>
      </c>
      <c r="D940" t="s">
        <v>52</v>
      </c>
      <c r="E940" t="s">
        <v>102</v>
      </c>
      <c r="F940" t="s">
        <v>76</v>
      </c>
      <c r="G940" t="s">
        <v>45</v>
      </c>
      <c r="H940" t="s">
        <v>32</v>
      </c>
      <c r="I940" t="s">
        <v>41</v>
      </c>
      <c r="J940" s="2">
        <v>44988</v>
      </c>
      <c r="K940" s="2">
        <v>44992</v>
      </c>
      <c r="L940" s="2">
        <v>44995</v>
      </c>
      <c r="M940" s="2">
        <v>45001</v>
      </c>
      <c r="N940" s="2">
        <v>45019</v>
      </c>
      <c r="O940">
        <v>1</v>
      </c>
      <c r="P940">
        <v>1</v>
      </c>
      <c r="Q940">
        <v>1</v>
      </c>
      <c r="R940">
        <v>1</v>
      </c>
      <c r="S940">
        <v>0</v>
      </c>
      <c r="T940" t="s">
        <v>61</v>
      </c>
      <c r="U940">
        <v>64</v>
      </c>
      <c r="V940">
        <v>31</v>
      </c>
      <c r="W940">
        <v>1</v>
      </c>
      <c r="X940">
        <v>528632</v>
      </c>
    </row>
    <row r="941" spans="1:25">
      <c r="A941" s="1" t="s">
        <v>1010</v>
      </c>
      <c r="B941" t="s">
        <v>43</v>
      </c>
      <c r="C941" t="s">
        <v>47</v>
      </c>
      <c r="D941" t="s">
        <v>73</v>
      </c>
      <c r="E941" t="s">
        <v>54</v>
      </c>
      <c r="F941" t="s">
        <v>30</v>
      </c>
      <c r="G941" t="s">
        <v>55</v>
      </c>
      <c r="H941" t="s">
        <v>32</v>
      </c>
      <c r="I941" t="s">
        <v>33</v>
      </c>
      <c r="J941" s="2">
        <v>45066</v>
      </c>
      <c r="K941" s="2">
        <v>45068</v>
      </c>
      <c r="L941" s="2">
        <v>45073</v>
      </c>
      <c r="M941" s="2">
        <v>45075</v>
      </c>
      <c r="N941" s="2">
        <v>45092</v>
      </c>
      <c r="O941">
        <v>1</v>
      </c>
      <c r="P941">
        <v>1</v>
      </c>
      <c r="Q941">
        <v>1</v>
      </c>
      <c r="R941">
        <v>1</v>
      </c>
      <c r="S941">
        <v>0</v>
      </c>
      <c r="T941" t="s">
        <v>61</v>
      </c>
      <c r="U941">
        <v>91</v>
      </c>
      <c r="V941">
        <v>26</v>
      </c>
      <c r="W941">
        <v>14</v>
      </c>
      <c r="X941">
        <v>1860409</v>
      </c>
    </row>
    <row r="942" spans="1:25">
      <c r="A942" s="1" t="s">
        <v>1011</v>
      </c>
      <c r="B942" t="s">
        <v>70</v>
      </c>
      <c r="C942" t="s">
        <v>71</v>
      </c>
      <c r="D942" t="s">
        <v>52</v>
      </c>
      <c r="E942" t="s">
        <v>102</v>
      </c>
      <c r="F942" t="s">
        <v>48</v>
      </c>
      <c r="G942" t="s">
        <v>31</v>
      </c>
      <c r="H942" t="s">
        <v>40</v>
      </c>
      <c r="I942" t="s">
        <v>33</v>
      </c>
      <c r="J942" s="2">
        <v>45317</v>
      </c>
      <c r="K942" s="2">
        <v>45318</v>
      </c>
      <c r="L942" s="2">
        <v>45322</v>
      </c>
      <c r="M942" s="2">
        <v>45324</v>
      </c>
      <c r="N942" s="2">
        <v>45345</v>
      </c>
      <c r="O942">
        <v>1</v>
      </c>
      <c r="P942">
        <v>1</v>
      </c>
      <c r="Q942">
        <v>1</v>
      </c>
      <c r="R942">
        <v>0</v>
      </c>
      <c r="S942">
        <v>1</v>
      </c>
      <c r="T942" t="s">
        <v>49</v>
      </c>
      <c r="U942">
        <v>74</v>
      </c>
      <c r="W942">
        <v>3</v>
      </c>
      <c r="X942">
        <v>1022663</v>
      </c>
      <c r="Y942" t="s">
        <v>50</v>
      </c>
    </row>
    <row r="943" spans="1:25">
      <c r="A943" s="1" t="s">
        <v>1012</v>
      </c>
      <c r="B943" t="s">
        <v>70</v>
      </c>
      <c r="C943" t="s">
        <v>37</v>
      </c>
      <c r="D943" t="s">
        <v>44</v>
      </c>
      <c r="E943" t="s">
        <v>63</v>
      </c>
      <c r="F943" t="s">
        <v>76</v>
      </c>
      <c r="G943" t="s">
        <v>60</v>
      </c>
      <c r="H943" t="s">
        <v>56</v>
      </c>
      <c r="I943" t="s">
        <v>41</v>
      </c>
      <c r="J943" s="2">
        <v>45244</v>
      </c>
      <c r="K943" s="2">
        <v>45246</v>
      </c>
      <c r="L943" s="2">
        <v>45256</v>
      </c>
      <c r="M943" s="2">
        <v>45260</v>
      </c>
      <c r="N943" s="2">
        <v>45273</v>
      </c>
      <c r="O943">
        <v>1</v>
      </c>
      <c r="P943">
        <v>1</v>
      </c>
      <c r="Q943">
        <v>0</v>
      </c>
      <c r="R943">
        <v>0</v>
      </c>
      <c r="S943">
        <v>0</v>
      </c>
      <c r="T943" t="s">
        <v>34</v>
      </c>
      <c r="U943">
        <v>96</v>
      </c>
      <c r="W943">
        <v>1</v>
      </c>
    </row>
    <row r="944" spans="1:25">
      <c r="A944" s="1" t="s">
        <v>1013</v>
      </c>
      <c r="B944" t="s">
        <v>26</v>
      </c>
      <c r="C944" t="s">
        <v>27</v>
      </c>
      <c r="D944" t="s">
        <v>28</v>
      </c>
      <c r="E944" t="s">
        <v>29</v>
      </c>
      <c r="F944" t="s">
        <v>76</v>
      </c>
      <c r="G944" t="s">
        <v>39</v>
      </c>
      <c r="H944" t="s">
        <v>40</v>
      </c>
      <c r="I944" t="s">
        <v>33</v>
      </c>
      <c r="J944" s="2">
        <v>45163</v>
      </c>
      <c r="K944" s="2">
        <v>45166</v>
      </c>
      <c r="L944" s="2">
        <v>45170</v>
      </c>
      <c r="M944" s="2">
        <v>45172</v>
      </c>
      <c r="N944" s="2">
        <v>45186</v>
      </c>
      <c r="O944">
        <v>1</v>
      </c>
      <c r="P944">
        <v>0</v>
      </c>
      <c r="Q944">
        <v>0</v>
      </c>
      <c r="R944">
        <v>0</v>
      </c>
      <c r="S944">
        <v>0</v>
      </c>
      <c r="T944" t="s">
        <v>34</v>
      </c>
      <c r="U944">
        <v>67</v>
      </c>
      <c r="W944">
        <v>1</v>
      </c>
    </row>
    <row r="945" spans="1:25">
      <c r="A945" s="1" t="s">
        <v>1014</v>
      </c>
      <c r="B945" t="s">
        <v>90</v>
      </c>
      <c r="C945" t="s">
        <v>27</v>
      </c>
      <c r="D945" t="s">
        <v>44</v>
      </c>
      <c r="E945" t="s">
        <v>66</v>
      </c>
      <c r="F945" t="s">
        <v>76</v>
      </c>
      <c r="G945" t="s">
        <v>55</v>
      </c>
      <c r="H945" t="s">
        <v>40</v>
      </c>
      <c r="I945" t="s">
        <v>41</v>
      </c>
      <c r="J945" s="2">
        <v>45320</v>
      </c>
      <c r="K945" s="2">
        <v>45322</v>
      </c>
      <c r="L945" s="2">
        <v>45331</v>
      </c>
      <c r="M945" s="2">
        <v>45336</v>
      </c>
      <c r="N945" s="2">
        <v>45338</v>
      </c>
      <c r="O945">
        <v>1</v>
      </c>
      <c r="P945">
        <v>0</v>
      </c>
      <c r="Q945">
        <v>0</v>
      </c>
      <c r="R945">
        <v>0</v>
      </c>
      <c r="S945">
        <v>0</v>
      </c>
      <c r="T945" t="s">
        <v>34</v>
      </c>
      <c r="U945">
        <v>63</v>
      </c>
      <c r="W945">
        <v>0</v>
      </c>
    </row>
    <row r="946" spans="1:25">
      <c r="A946" s="1" t="s">
        <v>1015</v>
      </c>
      <c r="B946" t="s">
        <v>36</v>
      </c>
      <c r="C946" t="s">
        <v>47</v>
      </c>
      <c r="D946" t="s">
        <v>59</v>
      </c>
      <c r="E946" t="s">
        <v>54</v>
      </c>
      <c r="F946" t="s">
        <v>30</v>
      </c>
      <c r="G946" t="s">
        <v>45</v>
      </c>
      <c r="H946" t="s">
        <v>56</v>
      </c>
      <c r="I946" t="s">
        <v>41</v>
      </c>
      <c r="J946" s="2">
        <v>45245</v>
      </c>
      <c r="K946" s="2">
        <v>45247</v>
      </c>
      <c r="L946" s="2">
        <v>45252</v>
      </c>
      <c r="M946" s="2">
        <v>45259</v>
      </c>
      <c r="N946" s="2">
        <v>45262</v>
      </c>
      <c r="O946">
        <v>1</v>
      </c>
      <c r="P946">
        <v>1</v>
      </c>
      <c r="Q946">
        <v>1</v>
      </c>
      <c r="R946">
        <v>1</v>
      </c>
      <c r="S946">
        <v>0</v>
      </c>
      <c r="T946" t="s">
        <v>61</v>
      </c>
      <c r="U946">
        <v>73</v>
      </c>
      <c r="V946">
        <v>17</v>
      </c>
      <c r="W946">
        <v>14</v>
      </c>
      <c r="X946">
        <v>2590766</v>
      </c>
    </row>
    <row r="947" spans="1:25">
      <c r="A947" s="1" t="s">
        <v>1016</v>
      </c>
      <c r="B947" t="s">
        <v>26</v>
      </c>
      <c r="C947" t="s">
        <v>71</v>
      </c>
      <c r="D947" t="s">
        <v>59</v>
      </c>
      <c r="E947" t="s">
        <v>102</v>
      </c>
      <c r="F947" t="s">
        <v>38</v>
      </c>
      <c r="G947" t="s">
        <v>31</v>
      </c>
      <c r="H947" t="s">
        <v>56</v>
      </c>
      <c r="I947" t="s">
        <v>33</v>
      </c>
      <c r="J947" s="2">
        <v>44938</v>
      </c>
      <c r="K947" s="2">
        <v>44942</v>
      </c>
      <c r="L947" s="2">
        <v>44950</v>
      </c>
      <c r="M947" s="2">
        <v>44957</v>
      </c>
      <c r="N947" s="2">
        <v>44954</v>
      </c>
      <c r="O947">
        <v>1</v>
      </c>
      <c r="P947">
        <v>1</v>
      </c>
      <c r="Q947">
        <v>1</v>
      </c>
      <c r="R947">
        <v>0</v>
      </c>
      <c r="S947">
        <v>0</v>
      </c>
      <c r="T947" t="s">
        <v>49</v>
      </c>
      <c r="U947">
        <v>84</v>
      </c>
      <c r="W947">
        <v>7</v>
      </c>
      <c r="X947">
        <v>1000718</v>
      </c>
      <c r="Y947" t="s">
        <v>127</v>
      </c>
    </row>
    <row r="948" spans="1:25">
      <c r="A948" s="1" t="s">
        <v>1017</v>
      </c>
      <c r="B948" t="s">
        <v>90</v>
      </c>
      <c r="C948" t="s">
        <v>78</v>
      </c>
      <c r="D948" t="s">
        <v>73</v>
      </c>
      <c r="E948" t="s">
        <v>66</v>
      </c>
      <c r="F948" t="s">
        <v>64</v>
      </c>
      <c r="G948" t="s">
        <v>39</v>
      </c>
      <c r="H948" t="s">
        <v>40</v>
      </c>
      <c r="I948" t="s">
        <v>41</v>
      </c>
      <c r="J948" s="2">
        <v>45156</v>
      </c>
      <c r="K948" s="2">
        <v>45161</v>
      </c>
      <c r="L948" s="2">
        <v>45166</v>
      </c>
      <c r="M948" s="2">
        <v>45171</v>
      </c>
      <c r="N948" s="2">
        <v>45189</v>
      </c>
      <c r="O948">
        <v>1</v>
      </c>
      <c r="P948">
        <v>1</v>
      </c>
      <c r="Q948">
        <v>0</v>
      </c>
      <c r="R948">
        <v>0</v>
      </c>
      <c r="S948">
        <v>0</v>
      </c>
      <c r="T948" t="s">
        <v>34</v>
      </c>
      <c r="U948">
        <v>87</v>
      </c>
      <c r="W948">
        <v>7</v>
      </c>
    </row>
    <row r="949" spans="1:25">
      <c r="A949" s="1" t="s">
        <v>1018</v>
      </c>
      <c r="B949" t="s">
        <v>26</v>
      </c>
      <c r="C949" t="s">
        <v>27</v>
      </c>
      <c r="D949" t="s">
        <v>44</v>
      </c>
      <c r="E949" t="s">
        <v>102</v>
      </c>
      <c r="F949" t="s">
        <v>30</v>
      </c>
      <c r="G949" t="s">
        <v>39</v>
      </c>
      <c r="H949" t="s">
        <v>32</v>
      </c>
      <c r="I949" t="s">
        <v>41</v>
      </c>
      <c r="J949" s="2">
        <v>45041</v>
      </c>
      <c r="K949" s="2">
        <v>45043</v>
      </c>
      <c r="L949" s="2">
        <v>45047</v>
      </c>
      <c r="M949" s="2">
        <v>45053</v>
      </c>
      <c r="N949" s="2">
        <v>45061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74</v>
      </c>
      <c r="U949">
        <v>55</v>
      </c>
      <c r="W949">
        <v>2</v>
      </c>
    </row>
    <row r="950" spans="1:25">
      <c r="A950" s="1" t="s">
        <v>1019</v>
      </c>
      <c r="B950" t="s">
        <v>70</v>
      </c>
      <c r="C950" t="s">
        <v>37</v>
      </c>
      <c r="D950" t="s">
        <v>73</v>
      </c>
      <c r="E950" t="s">
        <v>29</v>
      </c>
      <c r="F950" t="s">
        <v>48</v>
      </c>
      <c r="G950" t="s">
        <v>60</v>
      </c>
      <c r="H950" t="s">
        <v>56</v>
      </c>
      <c r="I950" t="s">
        <v>33</v>
      </c>
      <c r="J950" s="2">
        <v>45440</v>
      </c>
      <c r="K950" s="2">
        <v>45443</v>
      </c>
      <c r="L950" s="2">
        <v>45450</v>
      </c>
      <c r="M950" s="2">
        <v>45452</v>
      </c>
      <c r="N950" s="2">
        <v>45461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74</v>
      </c>
      <c r="U950">
        <v>96</v>
      </c>
      <c r="W950">
        <v>4</v>
      </c>
    </row>
    <row r="951" spans="1:25">
      <c r="A951" s="1" t="s">
        <v>1020</v>
      </c>
      <c r="B951" t="s">
        <v>36</v>
      </c>
      <c r="C951" t="s">
        <v>27</v>
      </c>
      <c r="D951" t="s">
        <v>59</v>
      </c>
      <c r="E951" t="s">
        <v>66</v>
      </c>
      <c r="F951" t="s">
        <v>30</v>
      </c>
      <c r="G951" t="s">
        <v>60</v>
      </c>
      <c r="H951" t="s">
        <v>56</v>
      </c>
      <c r="I951" t="s">
        <v>33</v>
      </c>
      <c r="J951" s="2">
        <v>45044</v>
      </c>
      <c r="K951" s="2">
        <v>45047</v>
      </c>
      <c r="L951" s="2">
        <v>45057</v>
      </c>
      <c r="M951" s="2">
        <v>45059</v>
      </c>
      <c r="N951" s="2">
        <v>45063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74</v>
      </c>
      <c r="U951">
        <v>69</v>
      </c>
      <c r="W951">
        <v>2</v>
      </c>
    </row>
    <row r="952" spans="1:25">
      <c r="A952" s="1" t="s">
        <v>1021</v>
      </c>
      <c r="B952" t="s">
        <v>43</v>
      </c>
      <c r="C952" t="s">
        <v>37</v>
      </c>
      <c r="D952" t="s">
        <v>44</v>
      </c>
      <c r="E952" t="s">
        <v>66</v>
      </c>
      <c r="F952" t="s">
        <v>67</v>
      </c>
      <c r="G952" t="s">
        <v>39</v>
      </c>
      <c r="H952" t="s">
        <v>32</v>
      </c>
      <c r="I952" t="s">
        <v>33</v>
      </c>
      <c r="J952" s="2">
        <v>45271</v>
      </c>
      <c r="K952" s="2">
        <v>45274</v>
      </c>
      <c r="L952" s="2">
        <v>45280</v>
      </c>
      <c r="M952" s="2">
        <v>45286</v>
      </c>
      <c r="N952" s="2">
        <v>45293</v>
      </c>
      <c r="O952">
        <v>1</v>
      </c>
      <c r="P952">
        <v>0</v>
      </c>
      <c r="Q952">
        <v>0</v>
      </c>
      <c r="R952">
        <v>0</v>
      </c>
      <c r="S952">
        <v>0</v>
      </c>
      <c r="T952" t="s">
        <v>34</v>
      </c>
      <c r="U952">
        <v>64</v>
      </c>
      <c r="W952">
        <v>3</v>
      </c>
    </row>
    <row r="953" spans="1:25">
      <c r="A953" s="1" t="s">
        <v>1022</v>
      </c>
      <c r="B953" t="s">
        <v>43</v>
      </c>
      <c r="C953" t="s">
        <v>47</v>
      </c>
      <c r="D953" t="s">
        <v>44</v>
      </c>
      <c r="E953" t="s">
        <v>29</v>
      </c>
      <c r="F953" t="s">
        <v>67</v>
      </c>
      <c r="G953" t="s">
        <v>45</v>
      </c>
      <c r="H953" t="s">
        <v>56</v>
      </c>
      <c r="I953" t="s">
        <v>33</v>
      </c>
      <c r="J953" s="2">
        <v>44945</v>
      </c>
      <c r="K953" s="2">
        <v>44950</v>
      </c>
      <c r="L953" s="2">
        <v>44958</v>
      </c>
      <c r="M953" s="2">
        <v>44962</v>
      </c>
      <c r="N953" s="2">
        <v>44972</v>
      </c>
      <c r="O953">
        <v>1</v>
      </c>
      <c r="P953">
        <v>1</v>
      </c>
      <c r="Q953">
        <v>1</v>
      </c>
      <c r="R953">
        <v>0</v>
      </c>
      <c r="S953">
        <v>1</v>
      </c>
      <c r="T953" t="s">
        <v>49</v>
      </c>
      <c r="U953">
        <v>96</v>
      </c>
      <c r="W953">
        <v>14</v>
      </c>
      <c r="X953">
        <v>2476431</v>
      </c>
      <c r="Y953" t="s">
        <v>87</v>
      </c>
    </row>
    <row r="954" spans="1:25">
      <c r="A954" s="1" t="s">
        <v>1023</v>
      </c>
      <c r="B954" t="s">
        <v>58</v>
      </c>
      <c r="C954" t="s">
        <v>71</v>
      </c>
      <c r="D954" t="s">
        <v>44</v>
      </c>
      <c r="E954" t="s">
        <v>63</v>
      </c>
      <c r="F954" t="s">
        <v>30</v>
      </c>
      <c r="G954" t="s">
        <v>60</v>
      </c>
      <c r="H954" t="s">
        <v>56</v>
      </c>
      <c r="I954" t="s">
        <v>33</v>
      </c>
      <c r="J954" s="2">
        <v>45279</v>
      </c>
      <c r="K954" s="2">
        <v>45281</v>
      </c>
      <c r="L954" s="2">
        <v>45288</v>
      </c>
      <c r="M954" s="2">
        <v>45291</v>
      </c>
      <c r="N954" s="2">
        <v>45300</v>
      </c>
      <c r="O954">
        <v>1</v>
      </c>
      <c r="P954">
        <v>1</v>
      </c>
      <c r="Q954">
        <v>0</v>
      </c>
      <c r="R954">
        <v>0</v>
      </c>
      <c r="S954">
        <v>0</v>
      </c>
      <c r="T954" t="s">
        <v>34</v>
      </c>
      <c r="U954">
        <v>100</v>
      </c>
      <c r="W954">
        <v>4</v>
      </c>
    </row>
    <row r="955" spans="1:25">
      <c r="A955" s="1" t="s">
        <v>1024</v>
      </c>
      <c r="B955" t="s">
        <v>70</v>
      </c>
      <c r="C955" t="s">
        <v>27</v>
      </c>
      <c r="D955" t="s">
        <v>73</v>
      </c>
      <c r="E955" t="s">
        <v>66</v>
      </c>
      <c r="F955" t="s">
        <v>48</v>
      </c>
      <c r="G955" t="s">
        <v>39</v>
      </c>
      <c r="H955" t="s">
        <v>32</v>
      </c>
      <c r="I955" t="s">
        <v>33</v>
      </c>
      <c r="J955" s="2">
        <v>45277</v>
      </c>
      <c r="K955" s="2">
        <v>45278</v>
      </c>
      <c r="L955" s="2">
        <v>45287</v>
      </c>
      <c r="M955" s="2">
        <v>45293</v>
      </c>
      <c r="N955" s="2">
        <v>45314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74</v>
      </c>
      <c r="U955">
        <v>51</v>
      </c>
      <c r="W955">
        <v>1</v>
      </c>
    </row>
    <row r="956" spans="1:25">
      <c r="A956" s="1" t="s">
        <v>1025</v>
      </c>
      <c r="B956" t="s">
        <v>90</v>
      </c>
      <c r="C956" t="s">
        <v>47</v>
      </c>
      <c r="D956" t="s">
        <v>44</v>
      </c>
      <c r="E956" t="s">
        <v>54</v>
      </c>
      <c r="F956" t="s">
        <v>64</v>
      </c>
      <c r="G956" t="s">
        <v>60</v>
      </c>
      <c r="H956" t="s">
        <v>40</v>
      </c>
      <c r="I956" t="s">
        <v>41</v>
      </c>
      <c r="J956" s="2">
        <v>45277</v>
      </c>
      <c r="K956" s="2">
        <v>45281</v>
      </c>
      <c r="L956" s="2">
        <v>45285</v>
      </c>
      <c r="M956" s="2">
        <v>45289</v>
      </c>
      <c r="N956" s="2">
        <v>45304</v>
      </c>
      <c r="O956">
        <v>1</v>
      </c>
      <c r="P956">
        <v>1</v>
      </c>
      <c r="Q956">
        <v>1</v>
      </c>
      <c r="R956">
        <v>0</v>
      </c>
      <c r="S956">
        <v>1</v>
      </c>
      <c r="T956" t="s">
        <v>49</v>
      </c>
      <c r="U956">
        <v>53</v>
      </c>
      <c r="W956">
        <v>10</v>
      </c>
      <c r="X956">
        <v>2786694</v>
      </c>
      <c r="Y956" t="s">
        <v>127</v>
      </c>
    </row>
    <row r="957" spans="1:25">
      <c r="A957" s="1" t="s">
        <v>1026</v>
      </c>
      <c r="B957" t="s">
        <v>70</v>
      </c>
      <c r="C957" t="s">
        <v>78</v>
      </c>
      <c r="D957" t="s">
        <v>28</v>
      </c>
      <c r="E957" t="s">
        <v>29</v>
      </c>
      <c r="F957" t="s">
        <v>38</v>
      </c>
      <c r="G957" t="s">
        <v>39</v>
      </c>
      <c r="H957" t="s">
        <v>40</v>
      </c>
      <c r="I957" t="s">
        <v>41</v>
      </c>
      <c r="J957" s="2">
        <v>45062</v>
      </c>
      <c r="K957" s="2">
        <v>45066</v>
      </c>
      <c r="L957" s="2">
        <v>45073</v>
      </c>
      <c r="M957" s="2">
        <v>45079</v>
      </c>
      <c r="N957" s="2">
        <v>45086</v>
      </c>
      <c r="O957">
        <v>1</v>
      </c>
      <c r="P957">
        <v>1</v>
      </c>
      <c r="Q957">
        <v>1</v>
      </c>
      <c r="R957">
        <v>0</v>
      </c>
      <c r="S957">
        <v>0</v>
      </c>
      <c r="T957" t="s">
        <v>49</v>
      </c>
      <c r="U957">
        <v>82</v>
      </c>
      <c r="W957">
        <v>7</v>
      </c>
      <c r="X957">
        <v>1695351</v>
      </c>
      <c r="Y957" t="s">
        <v>68</v>
      </c>
    </row>
    <row r="958" spans="1:25">
      <c r="A958" s="1" t="s">
        <v>1027</v>
      </c>
      <c r="B958" t="s">
        <v>70</v>
      </c>
      <c r="C958" t="s">
        <v>47</v>
      </c>
      <c r="D958" t="s">
        <v>59</v>
      </c>
      <c r="E958" t="s">
        <v>63</v>
      </c>
      <c r="F958" t="s">
        <v>67</v>
      </c>
      <c r="G958" t="s">
        <v>60</v>
      </c>
      <c r="H958" t="s">
        <v>56</v>
      </c>
      <c r="I958" t="s">
        <v>33</v>
      </c>
      <c r="J958" s="2">
        <v>45029</v>
      </c>
      <c r="K958" s="2">
        <v>45034</v>
      </c>
      <c r="L958" s="2">
        <v>45038</v>
      </c>
      <c r="M958" s="2">
        <v>45040</v>
      </c>
      <c r="N958" s="2">
        <v>45058</v>
      </c>
      <c r="O958">
        <v>1</v>
      </c>
      <c r="P958">
        <v>0</v>
      </c>
      <c r="Q958">
        <v>0</v>
      </c>
      <c r="R958">
        <v>0</v>
      </c>
      <c r="S958">
        <v>0</v>
      </c>
      <c r="T958" t="s">
        <v>34</v>
      </c>
      <c r="U958">
        <v>63</v>
      </c>
      <c r="W958">
        <v>8</v>
      </c>
    </row>
    <row r="959" spans="1:25">
      <c r="A959" s="1" t="s">
        <v>1028</v>
      </c>
      <c r="B959" t="s">
        <v>90</v>
      </c>
      <c r="C959" t="s">
        <v>71</v>
      </c>
      <c r="D959" t="s">
        <v>44</v>
      </c>
      <c r="E959" t="s">
        <v>63</v>
      </c>
      <c r="F959" t="s">
        <v>38</v>
      </c>
      <c r="G959" t="s">
        <v>60</v>
      </c>
      <c r="H959" t="s">
        <v>32</v>
      </c>
      <c r="I959" t="s">
        <v>41</v>
      </c>
      <c r="J959" s="2">
        <v>45334</v>
      </c>
      <c r="K959" s="2">
        <v>45336</v>
      </c>
      <c r="L959" s="2">
        <v>45343</v>
      </c>
      <c r="M959" s="2">
        <v>45348</v>
      </c>
      <c r="N959" s="2">
        <v>45363</v>
      </c>
      <c r="O959">
        <v>1</v>
      </c>
      <c r="P959">
        <v>1</v>
      </c>
      <c r="Q959">
        <v>1</v>
      </c>
      <c r="R959">
        <v>1</v>
      </c>
      <c r="S959">
        <v>0</v>
      </c>
      <c r="T959" t="s">
        <v>61</v>
      </c>
      <c r="U959">
        <v>77</v>
      </c>
      <c r="V959">
        <v>29</v>
      </c>
      <c r="W959">
        <v>5</v>
      </c>
      <c r="X959">
        <v>1457190</v>
      </c>
    </row>
    <row r="960" spans="1:25">
      <c r="A960" s="1" t="s">
        <v>1029</v>
      </c>
      <c r="B960" t="s">
        <v>43</v>
      </c>
      <c r="C960" t="s">
        <v>27</v>
      </c>
      <c r="D960" t="s">
        <v>52</v>
      </c>
      <c r="E960" t="s">
        <v>29</v>
      </c>
      <c r="F960" t="s">
        <v>30</v>
      </c>
      <c r="G960" t="s">
        <v>60</v>
      </c>
      <c r="H960" t="s">
        <v>32</v>
      </c>
      <c r="I960" t="s">
        <v>41</v>
      </c>
      <c r="J960" s="2">
        <v>45207</v>
      </c>
      <c r="K960" s="2">
        <v>45210</v>
      </c>
      <c r="L960" s="2">
        <v>45214</v>
      </c>
      <c r="M960" s="2">
        <v>45218</v>
      </c>
      <c r="N960" s="2">
        <v>45228</v>
      </c>
      <c r="O960">
        <v>1</v>
      </c>
      <c r="P960">
        <v>0</v>
      </c>
      <c r="Q960">
        <v>0</v>
      </c>
      <c r="R960">
        <v>0</v>
      </c>
      <c r="S960">
        <v>0</v>
      </c>
      <c r="T960" t="s">
        <v>34</v>
      </c>
      <c r="U960">
        <v>85</v>
      </c>
      <c r="W960">
        <v>1</v>
      </c>
    </row>
    <row r="961" spans="1:25">
      <c r="A961" s="1" t="s">
        <v>1030</v>
      </c>
      <c r="B961" t="s">
        <v>26</v>
      </c>
      <c r="C961" t="s">
        <v>78</v>
      </c>
      <c r="D961" t="s">
        <v>52</v>
      </c>
      <c r="E961" t="s">
        <v>66</v>
      </c>
      <c r="F961" t="s">
        <v>76</v>
      </c>
      <c r="G961" t="s">
        <v>31</v>
      </c>
      <c r="H961" t="s">
        <v>56</v>
      </c>
      <c r="I961" t="s">
        <v>41</v>
      </c>
      <c r="J961" s="2">
        <v>45183</v>
      </c>
      <c r="K961" s="2">
        <v>45184</v>
      </c>
      <c r="L961" s="2">
        <v>45188</v>
      </c>
      <c r="M961" s="2">
        <v>45190</v>
      </c>
      <c r="N961" s="2">
        <v>45206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74</v>
      </c>
      <c r="U961">
        <v>90</v>
      </c>
      <c r="W961">
        <v>7</v>
      </c>
    </row>
    <row r="962" spans="1:25">
      <c r="A962" s="1" t="s">
        <v>1031</v>
      </c>
      <c r="B962" t="s">
        <v>43</v>
      </c>
      <c r="C962" t="s">
        <v>37</v>
      </c>
      <c r="D962" t="s">
        <v>59</v>
      </c>
      <c r="E962" t="s">
        <v>102</v>
      </c>
      <c r="F962" t="s">
        <v>38</v>
      </c>
      <c r="G962" t="s">
        <v>60</v>
      </c>
      <c r="H962" t="s">
        <v>32</v>
      </c>
      <c r="I962" t="s">
        <v>33</v>
      </c>
      <c r="J962" s="2">
        <v>45187</v>
      </c>
      <c r="K962" s="2">
        <v>45190</v>
      </c>
      <c r="L962" s="2">
        <v>45199</v>
      </c>
      <c r="M962" s="2">
        <v>45205</v>
      </c>
      <c r="N962" s="2">
        <v>45212</v>
      </c>
      <c r="O962">
        <v>1</v>
      </c>
      <c r="P962">
        <v>1</v>
      </c>
      <c r="Q962">
        <v>1</v>
      </c>
      <c r="R962">
        <v>1</v>
      </c>
      <c r="S962">
        <v>0</v>
      </c>
      <c r="T962" t="s">
        <v>61</v>
      </c>
      <c r="U962">
        <v>63</v>
      </c>
      <c r="V962">
        <v>25</v>
      </c>
      <c r="W962">
        <v>4</v>
      </c>
      <c r="X962">
        <v>683436</v>
      </c>
    </row>
    <row r="963" spans="1:25">
      <c r="A963" s="1" t="s">
        <v>1032</v>
      </c>
      <c r="B963" t="s">
        <v>43</v>
      </c>
      <c r="C963" t="s">
        <v>78</v>
      </c>
      <c r="D963" t="s">
        <v>73</v>
      </c>
      <c r="E963" t="s">
        <v>102</v>
      </c>
      <c r="F963" t="s">
        <v>67</v>
      </c>
      <c r="G963" t="s">
        <v>45</v>
      </c>
      <c r="H963" t="s">
        <v>56</v>
      </c>
      <c r="I963" t="s">
        <v>33</v>
      </c>
      <c r="J963" s="2">
        <v>44956</v>
      </c>
      <c r="K963" s="2">
        <v>44958</v>
      </c>
      <c r="L963" s="2">
        <v>44962</v>
      </c>
      <c r="M963" s="2">
        <v>44965</v>
      </c>
      <c r="N963" s="2">
        <v>44977</v>
      </c>
      <c r="O963">
        <v>1</v>
      </c>
      <c r="P963">
        <v>1</v>
      </c>
      <c r="Q963">
        <v>0</v>
      </c>
      <c r="R963">
        <v>0</v>
      </c>
      <c r="S963">
        <v>0</v>
      </c>
      <c r="T963" t="s">
        <v>34</v>
      </c>
      <c r="U963">
        <v>74</v>
      </c>
      <c r="W963">
        <v>6</v>
      </c>
    </row>
    <row r="964" spans="1:25">
      <c r="A964" s="1" t="s">
        <v>1033</v>
      </c>
      <c r="B964" t="s">
        <v>58</v>
      </c>
      <c r="C964" t="s">
        <v>27</v>
      </c>
      <c r="D964" t="s">
        <v>44</v>
      </c>
      <c r="E964" t="s">
        <v>63</v>
      </c>
      <c r="F964" t="s">
        <v>64</v>
      </c>
      <c r="G964" t="s">
        <v>45</v>
      </c>
      <c r="H964" t="s">
        <v>56</v>
      </c>
      <c r="I964" t="s">
        <v>41</v>
      </c>
      <c r="J964" s="2">
        <v>45159</v>
      </c>
      <c r="K964" s="2">
        <v>45163</v>
      </c>
      <c r="L964" s="2">
        <v>45169</v>
      </c>
      <c r="M964" s="2">
        <v>45175</v>
      </c>
      <c r="N964" s="2">
        <v>45179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74</v>
      </c>
      <c r="U964">
        <v>66</v>
      </c>
      <c r="W964">
        <v>1</v>
      </c>
    </row>
    <row r="965" spans="1:25">
      <c r="A965" s="1" t="s">
        <v>1034</v>
      </c>
      <c r="B965" t="s">
        <v>58</v>
      </c>
      <c r="C965" t="s">
        <v>37</v>
      </c>
      <c r="D965" t="s">
        <v>52</v>
      </c>
      <c r="E965" t="s">
        <v>54</v>
      </c>
      <c r="F965" t="s">
        <v>67</v>
      </c>
      <c r="G965" t="s">
        <v>60</v>
      </c>
      <c r="H965" t="s">
        <v>32</v>
      </c>
      <c r="I965" t="s">
        <v>41</v>
      </c>
      <c r="J965" s="2">
        <v>44961</v>
      </c>
      <c r="K965" s="2">
        <v>44964</v>
      </c>
      <c r="L965" s="2">
        <v>44974</v>
      </c>
      <c r="M965" s="2">
        <v>44977</v>
      </c>
      <c r="N965" s="2">
        <v>44971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74</v>
      </c>
      <c r="U965">
        <v>61</v>
      </c>
      <c r="W965">
        <v>1</v>
      </c>
    </row>
    <row r="966" spans="1:25">
      <c r="A966" s="1" t="s">
        <v>1035</v>
      </c>
      <c r="B966" t="s">
        <v>70</v>
      </c>
      <c r="C966" t="s">
        <v>78</v>
      </c>
      <c r="D966" t="s">
        <v>28</v>
      </c>
      <c r="E966" t="s">
        <v>29</v>
      </c>
      <c r="F966" t="s">
        <v>67</v>
      </c>
      <c r="G966" t="s">
        <v>39</v>
      </c>
      <c r="H966" t="s">
        <v>40</v>
      </c>
      <c r="I966" t="s">
        <v>33</v>
      </c>
      <c r="J966" s="2">
        <v>45076</v>
      </c>
      <c r="K966" s="2">
        <v>45077</v>
      </c>
      <c r="L966" s="2">
        <v>45087</v>
      </c>
      <c r="M966" s="2">
        <v>45090</v>
      </c>
      <c r="N966" s="2">
        <v>45105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74</v>
      </c>
      <c r="U966">
        <v>62</v>
      </c>
      <c r="W966">
        <v>10</v>
      </c>
    </row>
    <row r="967" spans="1:25">
      <c r="A967" s="1" t="s">
        <v>1036</v>
      </c>
      <c r="B967" t="s">
        <v>70</v>
      </c>
      <c r="C967" t="s">
        <v>27</v>
      </c>
      <c r="D967" t="s">
        <v>73</v>
      </c>
      <c r="E967" t="s">
        <v>29</v>
      </c>
      <c r="F967" t="s">
        <v>48</v>
      </c>
      <c r="G967" t="s">
        <v>39</v>
      </c>
      <c r="H967" t="s">
        <v>56</v>
      </c>
      <c r="I967" t="s">
        <v>33</v>
      </c>
      <c r="J967" s="2">
        <v>45421</v>
      </c>
      <c r="K967" s="2">
        <v>45422</v>
      </c>
      <c r="L967" s="2">
        <v>45430</v>
      </c>
      <c r="M967" s="2">
        <v>45433</v>
      </c>
      <c r="N967" s="2">
        <v>45443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74</v>
      </c>
      <c r="U967">
        <v>58</v>
      </c>
      <c r="W967">
        <v>2</v>
      </c>
    </row>
    <row r="968" spans="1:25">
      <c r="A968" s="1" t="s">
        <v>1037</v>
      </c>
      <c r="B968" t="s">
        <v>70</v>
      </c>
      <c r="C968" t="s">
        <v>71</v>
      </c>
      <c r="D968" t="s">
        <v>73</v>
      </c>
      <c r="E968" t="s">
        <v>29</v>
      </c>
      <c r="F968" t="s">
        <v>64</v>
      </c>
      <c r="G968" t="s">
        <v>31</v>
      </c>
      <c r="H968" t="s">
        <v>56</v>
      </c>
      <c r="I968" t="s">
        <v>41</v>
      </c>
      <c r="J968" s="2">
        <v>45436</v>
      </c>
      <c r="K968" s="2">
        <v>45438</v>
      </c>
      <c r="L968" s="2">
        <v>45442</v>
      </c>
      <c r="M968" s="2">
        <v>45449</v>
      </c>
      <c r="N968" s="2">
        <v>45468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74</v>
      </c>
      <c r="U968">
        <v>57</v>
      </c>
      <c r="W968">
        <v>3</v>
      </c>
    </row>
    <row r="969" spans="1:25">
      <c r="A969" s="1" t="s">
        <v>1038</v>
      </c>
      <c r="B969" t="s">
        <v>26</v>
      </c>
      <c r="C969" t="s">
        <v>47</v>
      </c>
      <c r="D969" t="s">
        <v>28</v>
      </c>
      <c r="E969" t="s">
        <v>66</v>
      </c>
      <c r="F969" t="s">
        <v>48</v>
      </c>
      <c r="G969" t="s">
        <v>45</v>
      </c>
      <c r="H969" t="s">
        <v>40</v>
      </c>
      <c r="I969" t="s">
        <v>41</v>
      </c>
      <c r="J969" s="2">
        <v>45193</v>
      </c>
      <c r="K969" s="2">
        <v>45198</v>
      </c>
      <c r="L969" s="2">
        <v>45205</v>
      </c>
      <c r="M969" s="2">
        <v>45211</v>
      </c>
      <c r="N969" s="2">
        <v>45217</v>
      </c>
      <c r="O969">
        <v>1</v>
      </c>
      <c r="P969">
        <v>1</v>
      </c>
      <c r="Q969">
        <v>0</v>
      </c>
      <c r="R969">
        <v>0</v>
      </c>
      <c r="S969">
        <v>1</v>
      </c>
      <c r="T969" t="s">
        <v>34</v>
      </c>
      <c r="U969">
        <v>76</v>
      </c>
      <c r="W969">
        <v>15</v>
      </c>
    </row>
    <row r="970" spans="1:25">
      <c r="A970" s="1" t="s">
        <v>1039</v>
      </c>
      <c r="B970" t="s">
        <v>70</v>
      </c>
      <c r="C970" t="s">
        <v>47</v>
      </c>
      <c r="D970" t="s">
        <v>52</v>
      </c>
      <c r="E970" t="s">
        <v>63</v>
      </c>
      <c r="F970" t="s">
        <v>38</v>
      </c>
      <c r="G970" t="s">
        <v>39</v>
      </c>
      <c r="H970" t="s">
        <v>56</v>
      </c>
      <c r="I970" t="s">
        <v>33</v>
      </c>
      <c r="J970" s="2">
        <v>45091</v>
      </c>
      <c r="K970" s="2">
        <v>45092</v>
      </c>
      <c r="L970" s="2">
        <v>45099</v>
      </c>
      <c r="M970" s="2">
        <v>45104</v>
      </c>
      <c r="N970" s="2">
        <v>45116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74</v>
      </c>
      <c r="U970">
        <v>98</v>
      </c>
      <c r="W970">
        <v>13</v>
      </c>
    </row>
    <row r="971" spans="1:25">
      <c r="A971" s="1" t="s">
        <v>1040</v>
      </c>
      <c r="B971" t="s">
        <v>26</v>
      </c>
      <c r="C971" t="s">
        <v>47</v>
      </c>
      <c r="D971" t="s">
        <v>28</v>
      </c>
      <c r="E971" t="s">
        <v>63</v>
      </c>
      <c r="F971" t="s">
        <v>48</v>
      </c>
      <c r="G971" t="s">
        <v>45</v>
      </c>
      <c r="H971" t="s">
        <v>32</v>
      </c>
      <c r="I971" t="s">
        <v>33</v>
      </c>
      <c r="J971" s="2">
        <v>45116</v>
      </c>
      <c r="K971" s="2">
        <v>45119</v>
      </c>
      <c r="L971" s="2">
        <v>45127</v>
      </c>
      <c r="M971" s="2">
        <v>45131</v>
      </c>
      <c r="N971" s="2">
        <v>45129</v>
      </c>
      <c r="O971">
        <v>1</v>
      </c>
      <c r="P971">
        <v>1</v>
      </c>
      <c r="Q971">
        <v>1</v>
      </c>
      <c r="R971">
        <v>1</v>
      </c>
      <c r="S971">
        <v>0</v>
      </c>
      <c r="T971" t="s">
        <v>61</v>
      </c>
      <c r="U971">
        <v>82</v>
      </c>
      <c r="V971">
        <v>13</v>
      </c>
      <c r="W971">
        <v>9</v>
      </c>
      <c r="X971">
        <v>3127467</v>
      </c>
    </row>
    <row r="972" spans="1:25">
      <c r="A972" s="1" t="s">
        <v>1041</v>
      </c>
      <c r="B972" t="s">
        <v>90</v>
      </c>
      <c r="C972" t="s">
        <v>71</v>
      </c>
      <c r="D972" t="s">
        <v>73</v>
      </c>
      <c r="E972" t="s">
        <v>63</v>
      </c>
      <c r="F972" t="s">
        <v>38</v>
      </c>
      <c r="G972" t="s">
        <v>39</v>
      </c>
      <c r="H972" t="s">
        <v>56</v>
      </c>
      <c r="I972" t="s">
        <v>33</v>
      </c>
      <c r="J972" s="2">
        <v>45423</v>
      </c>
      <c r="K972" s="2">
        <v>45428</v>
      </c>
      <c r="L972" s="2">
        <v>45436</v>
      </c>
      <c r="M972" s="2">
        <v>45440</v>
      </c>
      <c r="N972" s="2">
        <v>45452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74</v>
      </c>
      <c r="U972">
        <v>94</v>
      </c>
      <c r="W972">
        <v>4</v>
      </c>
    </row>
    <row r="973" spans="1:25">
      <c r="A973" s="1" t="s">
        <v>1042</v>
      </c>
      <c r="B973" t="s">
        <v>43</v>
      </c>
      <c r="C973" t="s">
        <v>71</v>
      </c>
      <c r="D973" t="s">
        <v>52</v>
      </c>
      <c r="E973" t="s">
        <v>29</v>
      </c>
      <c r="F973" t="s">
        <v>67</v>
      </c>
      <c r="G973" t="s">
        <v>55</v>
      </c>
      <c r="H973" t="s">
        <v>32</v>
      </c>
      <c r="I973" t="s">
        <v>33</v>
      </c>
      <c r="J973" s="2">
        <v>45285</v>
      </c>
      <c r="K973" s="2">
        <v>45290</v>
      </c>
      <c r="L973" s="2">
        <v>45296</v>
      </c>
      <c r="M973" s="2">
        <v>45303</v>
      </c>
      <c r="N973" s="2">
        <v>45313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74</v>
      </c>
      <c r="U973">
        <v>89</v>
      </c>
      <c r="W973">
        <v>3</v>
      </c>
    </row>
    <row r="974" spans="1:25">
      <c r="A974" s="1" t="s">
        <v>1043</v>
      </c>
      <c r="B974" t="s">
        <v>58</v>
      </c>
      <c r="C974" t="s">
        <v>27</v>
      </c>
      <c r="D974" t="s">
        <v>28</v>
      </c>
      <c r="E974" t="s">
        <v>29</v>
      </c>
      <c r="F974" t="s">
        <v>48</v>
      </c>
      <c r="G974" t="s">
        <v>45</v>
      </c>
      <c r="H974" t="s">
        <v>32</v>
      </c>
      <c r="I974" t="s">
        <v>41</v>
      </c>
      <c r="J974" s="2">
        <v>44991</v>
      </c>
      <c r="K974" s="2">
        <v>44994</v>
      </c>
      <c r="L974" s="2">
        <v>44998</v>
      </c>
      <c r="M974" s="2">
        <v>45003</v>
      </c>
      <c r="N974" s="2">
        <v>45006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74</v>
      </c>
      <c r="U974">
        <v>69</v>
      </c>
      <c r="W974">
        <v>1</v>
      </c>
    </row>
    <row r="975" spans="1:25">
      <c r="A975" s="1" t="s">
        <v>1044</v>
      </c>
      <c r="B975" t="s">
        <v>36</v>
      </c>
      <c r="C975" t="s">
        <v>47</v>
      </c>
      <c r="D975" t="s">
        <v>44</v>
      </c>
      <c r="E975" t="s">
        <v>54</v>
      </c>
      <c r="F975" t="s">
        <v>76</v>
      </c>
      <c r="G975" t="s">
        <v>31</v>
      </c>
      <c r="H975" t="s">
        <v>56</v>
      </c>
      <c r="I975" t="s">
        <v>33</v>
      </c>
      <c r="J975" s="2">
        <v>45166</v>
      </c>
      <c r="K975" s="2">
        <v>45171</v>
      </c>
      <c r="L975" s="2">
        <v>45179</v>
      </c>
      <c r="M975" s="2">
        <v>45186</v>
      </c>
      <c r="N975" s="2">
        <v>45189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74</v>
      </c>
      <c r="U975">
        <v>76</v>
      </c>
      <c r="W975">
        <v>15</v>
      </c>
    </row>
    <row r="976" spans="1:25">
      <c r="A976" s="1" t="s">
        <v>1045</v>
      </c>
      <c r="B976" t="s">
        <v>26</v>
      </c>
      <c r="C976" t="s">
        <v>47</v>
      </c>
      <c r="D976" t="s">
        <v>52</v>
      </c>
      <c r="E976" t="s">
        <v>54</v>
      </c>
      <c r="F976" t="s">
        <v>64</v>
      </c>
      <c r="G976" t="s">
        <v>31</v>
      </c>
      <c r="H976" t="s">
        <v>40</v>
      </c>
      <c r="I976" t="s">
        <v>33</v>
      </c>
      <c r="J976" s="2">
        <v>45175</v>
      </c>
      <c r="K976" s="2">
        <v>45178</v>
      </c>
      <c r="L976" s="2">
        <v>45185</v>
      </c>
      <c r="M976" s="2">
        <v>45191</v>
      </c>
      <c r="N976" s="2">
        <v>45196</v>
      </c>
      <c r="O976">
        <v>1</v>
      </c>
      <c r="P976">
        <v>1</v>
      </c>
      <c r="Q976">
        <v>1</v>
      </c>
      <c r="R976">
        <v>0</v>
      </c>
      <c r="S976">
        <v>0</v>
      </c>
      <c r="T976" t="s">
        <v>49</v>
      </c>
      <c r="U976">
        <v>78</v>
      </c>
      <c r="W976">
        <v>15</v>
      </c>
      <c r="X976">
        <v>2123949</v>
      </c>
      <c r="Y976" t="s">
        <v>68</v>
      </c>
    </row>
    <row r="977" spans="1:25">
      <c r="A977" s="1" t="s">
        <v>1046</v>
      </c>
      <c r="B977" t="s">
        <v>36</v>
      </c>
      <c r="C977" t="s">
        <v>47</v>
      </c>
      <c r="D977" t="s">
        <v>28</v>
      </c>
      <c r="E977" t="s">
        <v>66</v>
      </c>
      <c r="F977" t="s">
        <v>38</v>
      </c>
      <c r="G977" t="s">
        <v>31</v>
      </c>
      <c r="H977" t="s">
        <v>40</v>
      </c>
      <c r="I977" t="s">
        <v>33</v>
      </c>
      <c r="J977" s="2">
        <v>45003</v>
      </c>
      <c r="K977" s="2">
        <v>45005</v>
      </c>
      <c r="L977" s="2">
        <v>45012</v>
      </c>
      <c r="M977" s="2">
        <v>45015</v>
      </c>
      <c r="N977" s="2">
        <v>45021</v>
      </c>
      <c r="O977">
        <v>1</v>
      </c>
      <c r="P977">
        <v>0</v>
      </c>
      <c r="Q977">
        <v>0</v>
      </c>
      <c r="R977">
        <v>0</v>
      </c>
      <c r="S977">
        <v>1</v>
      </c>
      <c r="T977" t="s">
        <v>34</v>
      </c>
      <c r="U977">
        <v>45</v>
      </c>
      <c r="W977">
        <v>8</v>
      </c>
    </row>
    <row r="978" spans="1:25">
      <c r="A978" s="1" t="s">
        <v>1047</v>
      </c>
      <c r="B978" t="s">
        <v>43</v>
      </c>
      <c r="C978" t="s">
        <v>37</v>
      </c>
      <c r="D978" t="s">
        <v>73</v>
      </c>
      <c r="E978" t="s">
        <v>102</v>
      </c>
      <c r="F978" t="s">
        <v>30</v>
      </c>
      <c r="G978" t="s">
        <v>39</v>
      </c>
      <c r="H978" t="s">
        <v>56</v>
      </c>
      <c r="I978" t="s">
        <v>33</v>
      </c>
      <c r="J978" s="2">
        <v>45296</v>
      </c>
      <c r="K978" s="2">
        <v>45298</v>
      </c>
      <c r="L978" s="2">
        <v>45308</v>
      </c>
      <c r="M978" s="2">
        <v>45315</v>
      </c>
      <c r="N978" s="2">
        <v>45319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74</v>
      </c>
      <c r="U978">
        <v>97</v>
      </c>
      <c r="W978">
        <v>4</v>
      </c>
    </row>
    <row r="979" spans="1:25">
      <c r="A979" s="1" t="s">
        <v>1048</v>
      </c>
      <c r="B979" t="s">
        <v>58</v>
      </c>
      <c r="C979" t="s">
        <v>78</v>
      </c>
      <c r="D979" t="s">
        <v>73</v>
      </c>
      <c r="E979" t="s">
        <v>54</v>
      </c>
      <c r="F979" t="s">
        <v>30</v>
      </c>
      <c r="G979" t="s">
        <v>55</v>
      </c>
      <c r="H979" t="s">
        <v>56</v>
      </c>
      <c r="I979" t="s">
        <v>33</v>
      </c>
      <c r="J979" s="2">
        <v>45359</v>
      </c>
      <c r="K979" s="2">
        <v>45361</v>
      </c>
      <c r="L979" s="2">
        <v>45366</v>
      </c>
      <c r="M979" s="2">
        <v>45370</v>
      </c>
      <c r="N979" s="2">
        <v>45377</v>
      </c>
      <c r="O979">
        <v>1</v>
      </c>
      <c r="P979">
        <v>1</v>
      </c>
      <c r="Q979">
        <v>1</v>
      </c>
      <c r="R979">
        <v>0</v>
      </c>
      <c r="S979">
        <v>0</v>
      </c>
      <c r="T979" t="s">
        <v>49</v>
      </c>
      <c r="U979">
        <v>93</v>
      </c>
      <c r="W979">
        <v>9</v>
      </c>
      <c r="X979">
        <v>2059320</v>
      </c>
      <c r="Y979" t="s">
        <v>127</v>
      </c>
    </row>
    <row r="980" spans="1:25">
      <c r="A980" s="1" t="s">
        <v>1049</v>
      </c>
      <c r="B980" t="s">
        <v>70</v>
      </c>
      <c r="C980" t="s">
        <v>37</v>
      </c>
      <c r="D980" t="s">
        <v>52</v>
      </c>
      <c r="E980" t="s">
        <v>54</v>
      </c>
      <c r="F980" t="s">
        <v>76</v>
      </c>
      <c r="G980" t="s">
        <v>45</v>
      </c>
      <c r="H980" t="s">
        <v>40</v>
      </c>
      <c r="I980" t="s">
        <v>33</v>
      </c>
      <c r="J980" s="2">
        <v>45345</v>
      </c>
      <c r="K980" s="2">
        <v>45348</v>
      </c>
      <c r="L980" s="2">
        <v>45352</v>
      </c>
      <c r="M980" s="2">
        <v>45357</v>
      </c>
      <c r="N980" s="2">
        <v>45370</v>
      </c>
      <c r="O980">
        <v>1</v>
      </c>
      <c r="P980">
        <v>1</v>
      </c>
      <c r="Q980">
        <v>1</v>
      </c>
      <c r="R980">
        <v>0</v>
      </c>
      <c r="S980">
        <v>0</v>
      </c>
      <c r="T980" t="s">
        <v>49</v>
      </c>
      <c r="U980">
        <v>97</v>
      </c>
      <c r="W980">
        <v>3</v>
      </c>
      <c r="X980">
        <v>696059</v>
      </c>
      <c r="Y980" t="s">
        <v>68</v>
      </c>
    </row>
    <row r="981" spans="1:25">
      <c r="A981" s="1" t="s">
        <v>1050</v>
      </c>
      <c r="B981" t="s">
        <v>43</v>
      </c>
      <c r="C981" t="s">
        <v>37</v>
      </c>
      <c r="D981" t="s">
        <v>28</v>
      </c>
      <c r="E981" t="s">
        <v>102</v>
      </c>
      <c r="F981" t="s">
        <v>67</v>
      </c>
      <c r="G981" t="s">
        <v>45</v>
      </c>
      <c r="H981" t="s">
        <v>56</v>
      </c>
      <c r="I981" t="s">
        <v>41</v>
      </c>
      <c r="J981" s="2">
        <v>45218</v>
      </c>
      <c r="K981" s="2">
        <v>45223</v>
      </c>
      <c r="L981" s="2">
        <v>45232</v>
      </c>
      <c r="M981" s="2">
        <v>45235</v>
      </c>
      <c r="N981" s="2">
        <v>45235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74</v>
      </c>
      <c r="U981">
        <v>85</v>
      </c>
      <c r="W981">
        <v>1</v>
      </c>
    </row>
    <row r="982" spans="1:25">
      <c r="A982" s="1" t="s">
        <v>1051</v>
      </c>
      <c r="B982" t="s">
        <v>58</v>
      </c>
      <c r="C982" t="s">
        <v>37</v>
      </c>
      <c r="D982" t="s">
        <v>59</v>
      </c>
      <c r="E982" t="s">
        <v>66</v>
      </c>
      <c r="F982" t="s">
        <v>48</v>
      </c>
      <c r="G982" t="s">
        <v>31</v>
      </c>
      <c r="H982" t="s">
        <v>56</v>
      </c>
      <c r="I982" t="s">
        <v>33</v>
      </c>
      <c r="J982" s="2">
        <v>45223</v>
      </c>
      <c r="K982" s="2">
        <v>45224</v>
      </c>
      <c r="L982" s="2">
        <v>45234</v>
      </c>
      <c r="M982" s="2">
        <v>45241</v>
      </c>
      <c r="N982" s="2">
        <v>45244</v>
      </c>
      <c r="O982">
        <v>1</v>
      </c>
      <c r="P982">
        <v>1</v>
      </c>
      <c r="Q982">
        <v>1</v>
      </c>
      <c r="R982">
        <v>0</v>
      </c>
      <c r="S982">
        <v>0</v>
      </c>
      <c r="T982" t="s">
        <v>49</v>
      </c>
      <c r="U982">
        <v>78</v>
      </c>
      <c r="W982">
        <v>4</v>
      </c>
      <c r="X982">
        <v>739979</v>
      </c>
      <c r="Y982" t="s">
        <v>68</v>
      </c>
    </row>
    <row r="983" spans="1:25">
      <c r="A983" s="1" t="s">
        <v>1052</v>
      </c>
      <c r="B983" t="s">
        <v>26</v>
      </c>
      <c r="C983" t="s">
        <v>27</v>
      </c>
      <c r="D983" t="s">
        <v>44</v>
      </c>
      <c r="E983" t="s">
        <v>54</v>
      </c>
      <c r="F983" t="s">
        <v>76</v>
      </c>
      <c r="G983" t="s">
        <v>60</v>
      </c>
      <c r="H983" t="s">
        <v>40</v>
      </c>
      <c r="I983" t="s">
        <v>41</v>
      </c>
      <c r="J983" s="2">
        <v>44944</v>
      </c>
      <c r="K983" s="2">
        <v>44948</v>
      </c>
      <c r="L983" s="2">
        <v>44953</v>
      </c>
      <c r="M983" s="2">
        <v>44957</v>
      </c>
      <c r="N983" s="2">
        <v>44966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74</v>
      </c>
      <c r="U983">
        <v>78</v>
      </c>
      <c r="W983">
        <v>0</v>
      </c>
    </row>
    <row r="984" spans="1:25">
      <c r="A984" s="1" t="s">
        <v>1053</v>
      </c>
      <c r="B984" t="s">
        <v>36</v>
      </c>
      <c r="C984" t="s">
        <v>71</v>
      </c>
      <c r="D984" t="s">
        <v>73</v>
      </c>
      <c r="E984" t="s">
        <v>54</v>
      </c>
      <c r="F984" t="s">
        <v>48</v>
      </c>
      <c r="G984" t="s">
        <v>45</v>
      </c>
      <c r="H984" t="s">
        <v>40</v>
      </c>
      <c r="I984" t="s">
        <v>33</v>
      </c>
      <c r="J984" s="2">
        <v>45155</v>
      </c>
      <c r="K984" s="2">
        <v>45156</v>
      </c>
      <c r="L984" s="2">
        <v>45161</v>
      </c>
      <c r="M984" s="2">
        <v>45168</v>
      </c>
      <c r="N984" s="2">
        <v>45180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74</v>
      </c>
      <c r="U984">
        <v>89</v>
      </c>
      <c r="W984">
        <v>4</v>
      </c>
    </row>
    <row r="985" spans="1:25">
      <c r="A985" s="1" t="s">
        <v>1054</v>
      </c>
      <c r="B985" t="s">
        <v>90</v>
      </c>
      <c r="C985" t="s">
        <v>71</v>
      </c>
      <c r="D985" t="s">
        <v>44</v>
      </c>
      <c r="E985" t="s">
        <v>63</v>
      </c>
      <c r="F985" t="s">
        <v>30</v>
      </c>
      <c r="G985" t="s">
        <v>31</v>
      </c>
      <c r="H985" t="s">
        <v>32</v>
      </c>
      <c r="I985" t="s">
        <v>33</v>
      </c>
      <c r="J985" s="2">
        <v>45251</v>
      </c>
      <c r="K985" s="2">
        <v>45252</v>
      </c>
      <c r="L985" s="2">
        <v>45255</v>
      </c>
      <c r="M985" s="2">
        <v>45258</v>
      </c>
      <c r="N985" s="2">
        <v>45279</v>
      </c>
      <c r="O985">
        <v>1</v>
      </c>
      <c r="P985">
        <v>1</v>
      </c>
      <c r="Q985">
        <v>1</v>
      </c>
      <c r="R985">
        <v>1</v>
      </c>
      <c r="S985">
        <v>0</v>
      </c>
      <c r="T985" t="s">
        <v>61</v>
      </c>
      <c r="U985">
        <v>53</v>
      </c>
      <c r="V985">
        <v>28</v>
      </c>
      <c r="W985">
        <v>3</v>
      </c>
      <c r="X985">
        <v>1252332</v>
      </c>
    </row>
    <row r="986" spans="1:25">
      <c r="A986" s="1" t="s">
        <v>1055</v>
      </c>
      <c r="B986" t="s">
        <v>70</v>
      </c>
      <c r="C986" t="s">
        <v>27</v>
      </c>
      <c r="D986" t="s">
        <v>73</v>
      </c>
      <c r="E986" t="s">
        <v>63</v>
      </c>
      <c r="F986" t="s">
        <v>64</v>
      </c>
      <c r="G986" t="s">
        <v>39</v>
      </c>
      <c r="H986" t="s">
        <v>32</v>
      </c>
      <c r="I986" t="s">
        <v>33</v>
      </c>
      <c r="J986" s="2">
        <v>45257</v>
      </c>
      <c r="K986" s="2">
        <v>45260</v>
      </c>
      <c r="L986" s="2">
        <v>45268</v>
      </c>
      <c r="M986" s="2">
        <v>45270</v>
      </c>
      <c r="N986" s="2">
        <v>45291</v>
      </c>
      <c r="O986">
        <v>1</v>
      </c>
      <c r="P986">
        <v>1</v>
      </c>
      <c r="Q986">
        <v>0</v>
      </c>
      <c r="R986">
        <v>0</v>
      </c>
      <c r="S986">
        <v>0</v>
      </c>
      <c r="T986" t="s">
        <v>34</v>
      </c>
      <c r="U986">
        <v>55</v>
      </c>
      <c r="W986">
        <v>2</v>
      </c>
    </row>
    <row r="987" spans="1:25">
      <c r="A987" s="1" t="s">
        <v>1056</v>
      </c>
      <c r="B987" t="s">
        <v>70</v>
      </c>
      <c r="C987" t="s">
        <v>37</v>
      </c>
      <c r="D987" t="s">
        <v>73</v>
      </c>
      <c r="E987" t="s">
        <v>66</v>
      </c>
      <c r="F987" t="s">
        <v>48</v>
      </c>
      <c r="G987" t="s">
        <v>60</v>
      </c>
      <c r="H987" t="s">
        <v>56</v>
      </c>
      <c r="I987" t="s">
        <v>33</v>
      </c>
      <c r="J987" s="2">
        <v>44942</v>
      </c>
      <c r="K987" s="2">
        <v>44944</v>
      </c>
      <c r="L987" s="2">
        <v>44950</v>
      </c>
      <c r="M987" s="2">
        <v>44954</v>
      </c>
      <c r="N987" s="2">
        <v>44971</v>
      </c>
      <c r="O987">
        <v>1</v>
      </c>
      <c r="P987">
        <v>1</v>
      </c>
      <c r="Q987">
        <v>1</v>
      </c>
      <c r="R987">
        <v>0</v>
      </c>
      <c r="S987">
        <v>0</v>
      </c>
      <c r="T987" t="s">
        <v>49</v>
      </c>
      <c r="U987">
        <v>84</v>
      </c>
      <c r="W987">
        <v>4</v>
      </c>
      <c r="X987">
        <v>659481</v>
      </c>
      <c r="Y987" t="s">
        <v>80</v>
      </c>
    </row>
    <row r="988" spans="1:25">
      <c r="A988" s="1" t="s">
        <v>1057</v>
      </c>
      <c r="B988" t="s">
        <v>43</v>
      </c>
      <c r="C988" t="s">
        <v>27</v>
      </c>
      <c r="D988" t="s">
        <v>44</v>
      </c>
      <c r="E988" t="s">
        <v>66</v>
      </c>
      <c r="F988" t="s">
        <v>38</v>
      </c>
      <c r="G988" t="s">
        <v>39</v>
      </c>
      <c r="H988" t="s">
        <v>32</v>
      </c>
      <c r="I988" t="s">
        <v>41</v>
      </c>
      <c r="J988" s="2">
        <v>45319</v>
      </c>
      <c r="K988" s="2">
        <v>45322</v>
      </c>
      <c r="L988" s="2">
        <v>45330</v>
      </c>
      <c r="M988" s="2">
        <v>45336</v>
      </c>
      <c r="N988" s="2">
        <v>45338</v>
      </c>
      <c r="O988">
        <v>1</v>
      </c>
      <c r="P988">
        <v>1</v>
      </c>
      <c r="Q988">
        <v>0</v>
      </c>
      <c r="R988">
        <v>0</v>
      </c>
      <c r="S988">
        <v>0</v>
      </c>
      <c r="T988" t="s">
        <v>34</v>
      </c>
      <c r="U988">
        <v>91</v>
      </c>
      <c r="W988">
        <v>0</v>
      </c>
    </row>
    <row r="989" spans="1:25">
      <c r="A989" s="1" t="s">
        <v>1058</v>
      </c>
      <c r="B989" t="s">
        <v>43</v>
      </c>
      <c r="C989" t="s">
        <v>78</v>
      </c>
      <c r="D989" t="s">
        <v>28</v>
      </c>
      <c r="E989" t="s">
        <v>102</v>
      </c>
      <c r="F989" t="s">
        <v>64</v>
      </c>
      <c r="G989" t="s">
        <v>45</v>
      </c>
      <c r="H989" t="s">
        <v>32</v>
      </c>
      <c r="I989" t="s">
        <v>41</v>
      </c>
      <c r="J989" s="2">
        <v>45161</v>
      </c>
      <c r="K989" s="2">
        <v>45166</v>
      </c>
      <c r="L989" s="2">
        <v>45173</v>
      </c>
      <c r="M989" s="2">
        <v>45178</v>
      </c>
      <c r="N989" s="2">
        <v>45176</v>
      </c>
      <c r="O989">
        <v>1</v>
      </c>
      <c r="P989">
        <v>0</v>
      </c>
      <c r="Q989">
        <v>0</v>
      </c>
      <c r="R989">
        <v>0</v>
      </c>
      <c r="S989">
        <v>0</v>
      </c>
      <c r="T989" t="s">
        <v>34</v>
      </c>
      <c r="U989">
        <v>77</v>
      </c>
      <c r="W989">
        <v>7</v>
      </c>
    </row>
    <row r="990" spans="1:25">
      <c r="A990" s="1" t="s">
        <v>1059</v>
      </c>
      <c r="B990" t="s">
        <v>90</v>
      </c>
      <c r="C990" t="s">
        <v>71</v>
      </c>
      <c r="D990" t="s">
        <v>44</v>
      </c>
      <c r="E990" t="s">
        <v>63</v>
      </c>
      <c r="F990" t="s">
        <v>67</v>
      </c>
      <c r="G990" t="s">
        <v>39</v>
      </c>
      <c r="H990" t="s">
        <v>56</v>
      </c>
      <c r="I990" t="s">
        <v>33</v>
      </c>
      <c r="J990" s="2">
        <v>44969</v>
      </c>
      <c r="K990" s="2">
        <v>44973</v>
      </c>
      <c r="L990" s="2">
        <v>44982</v>
      </c>
      <c r="M990" s="2">
        <v>44984</v>
      </c>
      <c r="N990" s="2">
        <v>44993</v>
      </c>
      <c r="O990">
        <v>1</v>
      </c>
      <c r="P990">
        <v>1</v>
      </c>
      <c r="Q990">
        <v>1</v>
      </c>
      <c r="R990">
        <v>0</v>
      </c>
      <c r="S990">
        <v>1</v>
      </c>
      <c r="T990" t="s">
        <v>49</v>
      </c>
      <c r="U990">
        <v>76</v>
      </c>
      <c r="W990">
        <v>6</v>
      </c>
      <c r="X990">
        <v>922222</v>
      </c>
      <c r="Y990" t="s">
        <v>80</v>
      </c>
    </row>
    <row r="991" spans="1:25">
      <c r="A991" s="1" t="s">
        <v>1060</v>
      </c>
      <c r="B991" t="s">
        <v>43</v>
      </c>
      <c r="C991" t="s">
        <v>71</v>
      </c>
      <c r="D991" t="s">
        <v>59</v>
      </c>
      <c r="E991" t="s">
        <v>102</v>
      </c>
      <c r="F991" t="s">
        <v>64</v>
      </c>
      <c r="G991" t="s">
        <v>55</v>
      </c>
      <c r="H991" t="s">
        <v>40</v>
      </c>
      <c r="I991" t="s">
        <v>33</v>
      </c>
      <c r="J991" s="2">
        <v>45383</v>
      </c>
      <c r="K991" s="2">
        <v>45386</v>
      </c>
      <c r="L991" s="2">
        <v>45390</v>
      </c>
      <c r="M991" s="2">
        <v>45392</v>
      </c>
      <c r="N991" s="2">
        <v>45410</v>
      </c>
      <c r="O991">
        <v>1</v>
      </c>
      <c r="P991">
        <v>1</v>
      </c>
      <c r="Q991">
        <v>1</v>
      </c>
      <c r="R991">
        <v>0</v>
      </c>
      <c r="S991">
        <v>0</v>
      </c>
      <c r="T991" t="s">
        <v>49</v>
      </c>
      <c r="U991">
        <v>51</v>
      </c>
      <c r="W991">
        <v>6</v>
      </c>
      <c r="X991">
        <v>970900</v>
      </c>
      <c r="Y991" t="s">
        <v>68</v>
      </c>
    </row>
    <row r="992" spans="1:25">
      <c r="A992" s="1" t="s">
        <v>1061</v>
      </c>
      <c r="B992" t="s">
        <v>70</v>
      </c>
      <c r="C992" t="s">
        <v>37</v>
      </c>
      <c r="D992" t="s">
        <v>52</v>
      </c>
      <c r="E992" t="s">
        <v>29</v>
      </c>
      <c r="F992" t="s">
        <v>67</v>
      </c>
      <c r="G992" t="s">
        <v>39</v>
      </c>
      <c r="H992" t="s">
        <v>32</v>
      </c>
      <c r="I992" t="s">
        <v>41</v>
      </c>
      <c r="J992" s="2">
        <v>45102</v>
      </c>
      <c r="K992" s="2">
        <v>45104</v>
      </c>
      <c r="L992" s="2">
        <v>45110</v>
      </c>
      <c r="M992" s="2">
        <v>45117</v>
      </c>
      <c r="N992" s="2">
        <v>45126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74</v>
      </c>
      <c r="U992">
        <v>61</v>
      </c>
      <c r="W992">
        <v>2</v>
      </c>
    </row>
    <row r="993" spans="1:25">
      <c r="A993" s="1" t="s">
        <v>1062</v>
      </c>
      <c r="B993" t="s">
        <v>36</v>
      </c>
      <c r="C993" t="s">
        <v>37</v>
      </c>
      <c r="D993" t="s">
        <v>44</v>
      </c>
      <c r="E993" t="s">
        <v>29</v>
      </c>
      <c r="F993" t="s">
        <v>38</v>
      </c>
      <c r="G993" t="s">
        <v>45</v>
      </c>
      <c r="H993" t="s">
        <v>32</v>
      </c>
      <c r="I993" t="s">
        <v>41</v>
      </c>
      <c r="J993" s="2">
        <v>45282</v>
      </c>
      <c r="K993" s="2">
        <v>45286</v>
      </c>
      <c r="L993" s="2">
        <v>45296</v>
      </c>
      <c r="M993" s="2">
        <v>45303</v>
      </c>
      <c r="N993" s="2">
        <v>45306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74</v>
      </c>
      <c r="U993">
        <v>80</v>
      </c>
      <c r="W993">
        <v>3</v>
      </c>
    </row>
    <row r="994" spans="1:25">
      <c r="A994" s="1" t="s">
        <v>1063</v>
      </c>
      <c r="B994" t="s">
        <v>70</v>
      </c>
      <c r="C994" t="s">
        <v>37</v>
      </c>
      <c r="D994" t="s">
        <v>59</v>
      </c>
      <c r="E994" t="s">
        <v>102</v>
      </c>
      <c r="F994" t="s">
        <v>48</v>
      </c>
      <c r="G994" t="s">
        <v>39</v>
      </c>
      <c r="H994" t="s">
        <v>32</v>
      </c>
      <c r="I994" t="s">
        <v>41</v>
      </c>
      <c r="J994" s="2">
        <v>45262</v>
      </c>
      <c r="K994" s="2">
        <v>45267</v>
      </c>
      <c r="L994" s="2">
        <v>45271</v>
      </c>
      <c r="M994" s="2">
        <v>45278</v>
      </c>
      <c r="N994" s="2">
        <v>45296</v>
      </c>
      <c r="O994">
        <v>1</v>
      </c>
      <c r="P994">
        <v>1</v>
      </c>
      <c r="Q994">
        <v>1</v>
      </c>
      <c r="R994">
        <v>0</v>
      </c>
      <c r="S994">
        <v>0</v>
      </c>
      <c r="T994" t="s">
        <v>49</v>
      </c>
      <c r="U994">
        <v>82</v>
      </c>
      <c r="W994">
        <v>4</v>
      </c>
      <c r="X994">
        <v>705301</v>
      </c>
      <c r="Y994" t="s">
        <v>50</v>
      </c>
    </row>
    <row r="995" spans="1:25">
      <c r="A995" s="1" t="s">
        <v>1064</v>
      </c>
      <c r="B995" t="s">
        <v>36</v>
      </c>
      <c r="C995" t="s">
        <v>47</v>
      </c>
      <c r="D995" t="s">
        <v>44</v>
      </c>
      <c r="E995" t="s">
        <v>63</v>
      </c>
      <c r="F995" t="s">
        <v>76</v>
      </c>
      <c r="G995" t="s">
        <v>45</v>
      </c>
      <c r="H995" t="s">
        <v>32</v>
      </c>
      <c r="I995" t="s">
        <v>33</v>
      </c>
      <c r="J995" s="2">
        <v>45139</v>
      </c>
      <c r="K995" s="2">
        <v>45144</v>
      </c>
      <c r="L995" s="2">
        <v>45149</v>
      </c>
      <c r="M995" s="2">
        <v>45155</v>
      </c>
      <c r="N995" s="2">
        <v>45154</v>
      </c>
      <c r="O995">
        <v>1</v>
      </c>
      <c r="P995">
        <v>1</v>
      </c>
      <c r="Q995">
        <v>1</v>
      </c>
      <c r="R995">
        <v>0</v>
      </c>
      <c r="S995">
        <v>0</v>
      </c>
      <c r="T995" t="s">
        <v>49</v>
      </c>
      <c r="U995">
        <v>50</v>
      </c>
      <c r="W995">
        <v>15</v>
      </c>
      <c r="X995">
        <v>1957328</v>
      </c>
      <c r="Y995" t="s">
        <v>68</v>
      </c>
    </row>
    <row r="996" spans="1:25">
      <c r="A996" s="1" t="s">
        <v>1065</v>
      </c>
      <c r="B996" t="s">
        <v>58</v>
      </c>
      <c r="C996" t="s">
        <v>37</v>
      </c>
      <c r="D996" t="s">
        <v>44</v>
      </c>
      <c r="E996" t="s">
        <v>29</v>
      </c>
      <c r="F996" t="s">
        <v>67</v>
      </c>
      <c r="G996" t="s">
        <v>45</v>
      </c>
      <c r="H996" t="s">
        <v>56</v>
      </c>
      <c r="I996" t="s">
        <v>33</v>
      </c>
      <c r="J996" s="2">
        <v>44977</v>
      </c>
      <c r="K996" s="2">
        <v>44979</v>
      </c>
      <c r="L996" s="2">
        <v>44985</v>
      </c>
      <c r="M996" s="2">
        <v>44991</v>
      </c>
      <c r="N996" s="2">
        <v>44992</v>
      </c>
      <c r="O996">
        <v>1</v>
      </c>
      <c r="P996">
        <v>1</v>
      </c>
      <c r="Q996">
        <v>0</v>
      </c>
      <c r="R996">
        <v>0</v>
      </c>
      <c r="S996">
        <v>0</v>
      </c>
      <c r="T996" t="s">
        <v>34</v>
      </c>
      <c r="U996">
        <v>85</v>
      </c>
      <c r="W996">
        <v>4</v>
      </c>
    </row>
    <row r="997" spans="1:25">
      <c r="A997" s="1" t="s">
        <v>1066</v>
      </c>
      <c r="B997" t="s">
        <v>58</v>
      </c>
      <c r="C997" t="s">
        <v>78</v>
      </c>
      <c r="D997" t="s">
        <v>73</v>
      </c>
      <c r="E997" t="s">
        <v>54</v>
      </c>
      <c r="F997" t="s">
        <v>67</v>
      </c>
      <c r="G997" t="s">
        <v>39</v>
      </c>
      <c r="H997" t="s">
        <v>32</v>
      </c>
      <c r="I997" t="s">
        <v>41</v>
      </c>
      <c r="J997" s="2">
        <v>45016</v>
      </c>
      <c r="K997" s="2">
        <v>45017</v>
      </c>
      <c r="L997" s="2">
        <v>45024</v>
      </c>
      <c r="M997" s="2">
        <v>45027</v>
      </c>
      <c r="N997" s="2">
        <v>45027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74</v>
      </c>
      <c r="U997">
        <v>81</v>
      </c>
      <c r="W997">
        <v>8</v>
      </c>
    </row>
    <row r="998" spans="1:25">
      <c r="A998" s="1" t="s">
        <v>1067</v>
      </c>
      <c r="B998" t="s">
        <v>36</v>
      </c>
      <c r="C998" t="s">
        <v>78</v>
      </c>
      <c r="D998" t="s">
        <v>73</v>
      </c>
      <c r="E998" t="s">
        <v>29</v>
      </c>
      <c r="F998" t="s">
        <v>38</v>
      </c>
      <c r="G998" t="s">
        <v>39</v>
      </c>
      <c r="H998" t="s">
        <v>32</v>
      </c>
      <c r="I998" t="s">
        <v>41</v>
      </c>
      <c r="J998" s="2">
        <v>45357</v>
      </c>
      <c r="K998" s="2">
        <v>45361</v>
      </c>
      <c r="L998" s="2">
        <v>45368</v>
      </c>
      <c r="M998" s="2">
        <v>45370</v>
      </c>
      <c r="N998" s="2">
        <v>45383</v>
      </c>
      <c r="O998">
        <v>1</v>
      </c>
      <c r="P998">
        <v>1</v>
      </c>
      <c r="Q998">
        <v>0</v>
      </c>
      <c r="R998">
        <v>0</v>
      </c>
      <c r="S998">
        <v>0</v>
      </c>
      <c r="T998" t="s">
        <v>34</v>
      </c>
      <c r="U998">
        <v>79</v>
      </c>
      <c r="W998">
        <v>8</v>
      </c>
    </row>
    <row r="999" spans="1:25">
      <c r="A999" s="1" t="s">
        <v>1068</v>
      </c>
      <c r="B999" t="s">
        <v>36</v>
      </c>
      <c r="C999" t="s">
        <v>78</v>
      </c>
      <c r="D999" t="s">
        <v>59</v>
      </c>
      <c r="E999" t="s">
        <v>54</v>
      </c>
      <c r="F999" t="s">
        <v>30</v>
      </c>
      <c r="G999" t="s">
        <v>45</v>
      </c>
      <c r="H999" t="s">
        <v>56</v>
      </c>
      <c r="I999" t="s">
        <v>33</v>
      </c>
      <c r="J999" s="2">
        <v>45048</v>
      </c>
      <c r="K999" s="2">
        <v>45049</v>
      </c>
      <c r="L999" s="2">
        <v>45058</v>
      </c>
      <c r="M999" s="2">
        <v>45063</v>
      </c>
      <c r="N999" s="2">
        <v>45063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74</v>
      </c>
      <c r="U999">
        <v>59</v>
      </c>
      <c r="W999">
        <v>7</v>
      </c>
    </row>
    <row r="1000" spans="1:25">
      <c r="A1000" s="1" t="s">
        <v>1069</v>
      </c>
      <c r="B1000" t="s">
        <v>70</v>
      </c>
      <c r="C1000" t="s">
        <v>47</v>
      </c>
      <c r="D1000" t="s">
        <v>73</v>
      </c>
      <c r="E1000" t="s">
        <v>102</v>
      </c>
      <c r="F1000" t="s">
        <v>64</v>
      </c>
      <c r="G1000" t="s">
        <v>60</v>
      </c>
      <c r="H1000" t="s">
        <v>56</v>
      </c>
      <c r="I1000" t="s">
        <v>33</v>
      </c>
      <c r="J1000" s="2">
        <v>45259</v>
      </c>
      <c r="K1000" s="2">
        <v>45263</v>
      </c>
      <c r="L1000" s="2">
        <v>45269</v>
      </c>
      <c r="M1000" s="2">
        <v>45276</v>
      </c>
      <c r="N1000" s="2">
        <v>45289</v>
      </c>
      <c r="O1000">
        <v>1</v>
      </c>
      <c r="P1000">
        <v>1</v>
      </c>
      <c r="Q1000">
        <v>0</v>
      </c>
      <c r="R1000">
        <v>0</v>
      </c>
      <c r="S1000">
        <v>0</v>
      </c>
      <c r="T1000" t="s">
        <v>34</v>
      </c>
      <c r="U1000">
        <v>83</v>
      </c>
      <c r="W1000">
        <v>13</v>
      </c>
    </row>
    <row r="1001" spans="1:25">
      <c r="A1001" s="1" t="s">
        <v>1070</v>
      </c>
      <c r="B1001" t="s">
        <v>70</v>
      </c>
      <c r="C1001" t="s">
        <v>27</v>
      </c>
      <c r="D1001" t="s">
        <v>59</v>
      </c>
      <c r="E1001" t="s">
        <v>66</v>
      </c>
      <c r="F1001" t="s">
        <v>30</v>
      </c>
      <c r="G1001" t="s">
        <v>55</v>
      </c>
      <c r="H1001" t="s">
        <v>40</v>
      </c>
      <c r="I1001" t="s">
        <v>33</v>
      </c>
      <c r="J1001" s="2">
        <v>45285</v>
      </c>
      <c r="K1001" s="2">
        <v>45289</v>
      </c>
      <c r="L1001" s="2">
        <v>45294</v>
      </c>
      <c r="M1001" s="2">
        <v>45297</v>
      </c>
      <c r="N1001" s="2">
        <v>45311</v>
      </c>
      <c r="O1001">
        <v>1</v>
      </c>
      <c r="P1001">
        <v>1</v>
      </c>
      <c r="Q1001">
        <v>0</v>
      </c>
      <c r="R1001">
        <v>0</v>
      </c>
      <c r="S1001">
        <v>0</v>
      </c>
      <c r="T1001" t="s">
        <v>34</v>
      </c>
      <c r="U1001">
        <v>60</v>
      </c>
      <c r="W1001">
        <v>2</v>
      </c>
    </row>
    <row r="1002" spans="1:25">
      <c r="A1002" s="1" t="s">
        <v>1071</v>
      </c>
      <c r="B1002" t="s">
        <v>36</v>
      </c>
      <c r="C1002" t="s">
        <v>37</v>
      </c>
      <c r="D1002" t="s">
        <v>52</v>
      </c>
      <c r="E1002" t="s">
        <v>29</v>
      </c>
      <c r="F1002" t="s">
        <v>48</v>
      </c>
      <c r="G1002" t="s">
        <v>39</v>
      </c>
      <c r="H1002" t="s">
        <v>40</v>
      </c>
      <c r="I1002" t="s">
        <v>33</v>
      </c>
      <c r="J1002" s="2">
        <v>45183</v>
      </c>
      <c r="K1002" s="2">
        <v>45188</v>
      </c>
      <c r="L1002" s="2">
        <v>45192</v>
      </c>
      <c r="M1002" s="2">
        <v>45198</v>
      </c>
      <c r="N1002" s="2">
        <v>45205</v>
      </c>
      <c r="O1002">
        <v>1</v>
      </c>
      <c r="P1002">
        <v>1</v>
      </c>
      <c r="Q1002">
        <v>0</v>
      </c>
      <c r="R1002">
        <v>0</v>
      </c>
      <c r="S1002">
        <v>0</v>
      </c>
      <c r="T1002" t="s">
        <v>34</v>
      </c>
      <c r="U1002">
        <v>76</v>
      </c>
      <c r="W1002">
        <v>1</v>
      </c>
    </row>
    <row r="1003" spans="1:25">
      <c r="A1003" s="1" t="s">
        <v>1072</v>
      </c>
      <c r="B1003" t="s">
        <v>43</v>
      </c>
      <c r="C1003" t="s">
        <v>47</v>
      </c>
      <c r="D1003" t="s">
        <v>73</v>
      </c>
      <c r="E1003" t="s">
        <v>29</v>
      </c>
      <c r="F1003" t="s">
        <v>64</v>
      </c>
      <c r="G1003" t="s">
        <v>31</v>
      </c>
      <c r="H1003" t="s">
        <v>56</v>
      </c>
      <c r="I1003" t="s">
        <v>41</v>
      </c>
      <c r="J1003" s="2">
        <v>44999</v>
      </c>
      <c r="K1003" s="2">
        <v>45002</v>
      </c>
      <c r="L1003" s="2">
        <v>45008</v>
      </c>
      <c r="M1003" s="2">
        <v>45011</v>
      </c>
      <c r="N1003" s="2">
        <v>45022</v>
      </c>
      <c r="O1003">
        <v>1</v>
      </c>
      <c r="P1003">
        <v>1</v>
      </c>
      <c r="Q1003">
        <v>1</v>
      </c>
      <c r="R1003">
        <v>1</v>
      </c>
      <c r="S1003">
        <v>0</v>
      </c>
      <c r="T1003" t="s">
        <v>61</v>
      </c>
      <c r="U1003">
        <v>74</v>
      </c>
      <c r="V1003">
        <v>23</v>
      </c>
      <c r="W1003">
        <v>14</v>
      </c>
      <c r="X1003">
        <v>2157904</v>
      </c>
    </row>
    <row r="1004" spans="1:25">
      <c r="A1004" s="1" t="s">
        <v>1073</v>
      </c>
      <c r="B1004" t="s">
        <v>58</v>
      </c>
      <c r="C1004" t="s">
        <v>37</v>
      </c>
      <c r="D1004" t="s">
        <v>28</v>
      </c>
      <c r="E1004" t="s">
        <v>66</v>
      </c>
      <c r="F1004" t="s">
        <v>67</v>
      </c>
      <c r="G1004" t="s">
        <v>45</v>
      </c>
      <c r="H1004" t="s">
        <v>32</v>
      </c>
      <c r="I1004" t="s">
        <v>41</v>
      </c>
      <c r="J1004" s="2">
        <v>44997</v>
      </c>
      <c r="K1004" s="2">
        <v>45002</v>
      </c>
      <c r="L1004" s="2">
        <v>45007</v>
      </c>
      <c r="M1004" s="2">
        <v>45012</v>
      </c>
      <c r="N1004" s="2">
        <v>45010</v>
      </c>
      <c r="O1004">
        <v>1</v>
      </c>
      <c r="P1004">
        <v>1</v>
      </c>
      <c r="Q1004">
        <v>1</v>
      </c>
      <c r="R1004">
        <v>0</v>
      </c>
      <c r="S1004">
        <v>0</v>
      </c>
      <c r="T1004" t="s">
        <v>49</v>
      </c>
      <c r="U1004">
        <v>72</v>
      </c>
      <c r="W1004">
        <v>4</v>
      </c>
      <c r="X1004">
        <v>506309</v>
      </c>
      <c r="Y1004" t="s">
        <v>50</v>
      </c>
    </row>
    <row r="1005" spans="1:25">
      <c r="A1005" s="1" t="s">
        <v>1074</v>
      </c>
      <c r="B1005" t="s">
        <v>70</v>
      </c>
      <c r="C1005" t="s">
        <v>71</v>
      </c>
      <c r="D1005" t="s">
        <v>52</v>
      </c>
      <c r="E1005" t="s">
        <v>54</v>
      </c>
      <c r="F1005" t="s">
        <v>38</v>
      </c>
      <c r="G1005" t="s">
        <v>45</v>
      </c>
      <c r="H1005" t="s">
        <v>56</v>
      </c>
      <c r="I1005" t="s">
        <v>33</v>
      </c>
      <c r="J1005" s="2">
        <v>45002</v>
      </c>
      <c r="K1005" s="2">
        <v>45005</v>
      </c>
      <c r="L1005" s="2">
        <v>45014</v>
      </c>
      <c r="M1005" s="2">
        <v>45021</v>
      </c>
      <c r="N1005" s="2">
        <v>45030</v>
      </c>
      <c r="O1005">
        <v>1</v>
      </c>
      <c r="P1005">
        <v>0</v>
      </c>
      <c r="Q1005">
        <v>0</v>
      </c>
      <c r="R1005">
        <v>0</v>
      </c>
      <c r="S1005">
        <v>0</v>
      </c>
      <c r="T1005" t="s">
        <v>34</v>
      </c>
      <c r="U1005">
        <v>45</v>
      </c>
      <c r="W1005">
        <v>3</v>
      </c>
    </row>
    <row r="1006" spans="1:25">
      <c r="A1006" s="1" t="s">
        <v>1075</v>
      </c>
      <c r="B1006" t="s">
        <v>90</v>
      </c>
      <c r="C1006" t="s">
        <v>78</v>
      </c>
      <c r="D1006" t="s">
        <v>59</v>
      </c>
      <c r="E1006" t="s">
        <v>54</v>
      </c>
      <c r="F1006" t="s">
        <v>64</v>
      </c>
      <c r="G1006" t="s">
        <v>55</v>
      </c>
      <c r="H1006" t="s">
        <v>40</v>
      </c>
      <c r="I1006" t="s">
        <v>41</v>
      </c>
      <c r="J1006" s="2">
        <v>45420</v>
      </c>
      <c r="K1006" s="2">
        <v>45422</v>
      </c>
      <c r="L1006" s="2">
        <v>45425</v>
      </c>
      <c r="M1006" s="2">
        <v>45428</v>
      </c>
      <c r="N1006" s="2">
        <v>45448</v>
      </c>
      <c r="O1006">
        <v>1</v>
      </c>
      <c r="P1006">
        <v>1</v>
      </c>
      <c r="Q1006">
        <v>1</v>
      </c>
      <c r="R1006">
        <v>1</v>
      </c>
      <c r="S1006">
        <v>0</v>
      </c>
      <c r="T1006" t="s">
        <v>61</v>
      </c>
      <c r="U1006">
        <v>99</v>
      </c>
      <c r="V1006">
        <v>28</v>
      </c>
      <c r="W1006">
        <v>7</v>
      </c>
      <c r="X1006">
        <v>1583669</v>
      </c>
    </row>
    <row r="1007" spans="1:25">
      <c r="A1007" s="1" t="s">
        <v>1076</v>
      </c>
      <c r="B1007" t="s">
        <v>58</v>
      </c>
      <c r="C1007" t="s">
        <v>47</v>
      </c>
      <c r="D1007" t="s">
        <v>59</v>
      </c>
      <c r="E1007" t="s">
        <v>63</v>
      </c>
      <c r="F1007" t="s">
        <v>38</v>
      </c>
      <c r="G1007" t="s">
        <v>31</v>
      </c>
      <c r="H1007" t="s">
        <v>56</v>
      </c>
      <c r="I1007" t="s">
        <v>41</v>
      </c>
      <c r="J1007" s="2">
        <v>45172</v>
      </c>
      <c r="K1007" s="2">
        <v>45175</v>
      </c>
      <c r="L1007" s="2">
        <v>45184</v>
      </c>
      <c r="M1007" s="2">
        <v>45189</v>
      </c>
      <c r="N1007" s="2">
        <v>45182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74</v>
      </c>
      <c r="U1007">
        <v>70</v>
      </c>
      <c r="W1007">
        <v>10</v>
      </c>
    </row>
    <row r="1008" spans="1:25">
      <c r="A1008" s="1" t="s">
        <v>1077</v>
      </c>
      <c r="B1008" t="s">
        <v>26</v>
      </c>
      <c r="C1008" t="s">
        <v>37</v>
      </c>
      <c r="D1008" t="s">
        <v>73</v>
      </c>
      <c r="E1008" t="s">
        <v>66</v>
      </c>
      <c r="F1008" t="s">
        <v>48</v>
      </c>
      <c r="G1008" t="s">
        <v>60</v>
      </c>
      <c r="H1008" t="s">
        <v>40</v>
      </c>
      <c r="I1008" t="s">
        <v>41</v>
      </c>
      <c r="J1008" s="2">
        <v>45283</v>
      </c>
      <c r="K1008" s="2">
        <v>45286</v>
      </c>
      <c r="L1008" s="2">
        <v>45296</v>
      </c>
      <c r="M1008" s="2">
        <v>45302</v>
      </c>
      <c r="N1008" s="2">
        <v>45307</v>
      </c>
      <c r="O1008">
        <v>0</v>
      </c>
      <c r="P1008">
        <v>0</v>
      </c>
      <c r="Q1008">
        <v>0</v>
      </c>
      <c r="R1008">
        <v>0</v>
      </c>
      <c r="S1008">
        <v>1</v>
      </c>
      <c r="T1008" t="s">
        <v>74</v>
      </c>
      <c r="U1008">
        <v>100</v>
      </c>
      <c r="W1008">
        <v>4</v>
      </c>
    </row>
    <row r="1009" spans="1:25">
      <c r="A1009" s="1" t="s">
        <v>1078</v>
      </c>
      <c r="B1009" t="s">
        <v>70</v>
      </c>
      <c r="C1009" t="s">
        <v>47</v>
      </c>
      <c r="D1009" t="s">
        <v>73</v>
      </c>
      <c r="E1009" t="s">
        <v>29</v>
      </c>
      <c r="F1009" t="s">
        <v>30</v>
      </c>
      <c r="G1009" t="s">
        <v>60</v>
      </c>
      <c r="H1009" t="s">
        <v>56</v>
      </c>
      <c r="I1009" t="s">
        <v>33</v>
      </c>
      <c r="J1009" s="2">
        <v>45243</v>
      </c>
      <c r="K1009" s="2">
        <v>45247</v>
      </c>
      <c r="L1009" s="2">
        <v>45250</v>
      </c>
      <c r="M1009" s="2">
        <v>45256</v>
      </c>
      <c r="N1009" s="2">
        <v>45266</v>
      </c>
      <c r="O1009">
        <v>1</v>
      </c>
      <c r="P1009">
        <v>1</v>
      </c>
      <c r="Q1009">
        <v>0</v>
      </c>
      <c r="R1009">
        <v>0</v>
      </c>
      <c r="S1009">
        <v>0</v>
      </c>
      <c r="T1009" t="s">
        <v>34</v>
      </c>
      <c r="U1009">
        <v>92</v>
      </c>
      <c r="W1009">
        <v>14</v>
      </c>
    </row>
    <row r="1010" spans="1:25">
      <c r="A1010" s="1" t="s">
        <v>1079</v>
      </c>
      <c r="B1010" t="s">
        <v>26</v>
      </c>
      <c r="C1010" t="s">
        <v>71</v>
      </c>
      <c r="D1010" t="s">
        <v>73</v>
      </c>
      <c r="E1010" t="s">
        <v>66</v>
      </c>
      <c r="F1010" t="s">
        <v>64</v>
      </c>
      <c r="G1010" t="s">
        <v>39</v>
      </c>
      <c r="H1010" t="s">
        <v>40</v>
      </c>
      <c r="I1010" t="s">
        <v>41</v>
      </c>
      <c r="J1010" s="2">
        <v>45101</v>
      </c>
      <c r="K1010" s="2">
        <v>45102</v>
      </c>
      <c r="L1010" s="2">
        <v>45106</v>
      </c>
      <c r="M1010" s="2">
        <v>45113</v>
      </c>
      <c r="N1010" s="2">
        <v>45124</v>
      </c>
      <c r="O1010">
        <v>1</v>
      </c>
      <c r="P1010">
        <v>1</v>
      </c>
      <c r="Q1010">
        <v>0</v>
      </c>
      <c r="R1010">
        <v>0</v>
      </c>
      <c r="S1010">
        <v>0</v>
      </c>
      <c r="T1010" t="s">
        <v>34</v>
      </c>
      <c r="U1010">
        <v>69</v>
      </c>
      <c r="W1010">
        <v>7</v>
      </c>
    </row>
    <row r="1011" spans="1:25">
      <c r="A1011" s="1" t="s">
        <v>1080</v>
      </c>
      <c r="B1011" t="s">
        <v>26</v>
      </c>
      <c r="C1011" t="s">
        <v>78</v>
      </c>
      <c r="D1011" t="s">
        <v>44</v>
      </c>
      <c r="E1011" t="s">
        <v>102</v>
      </c>
      <c r="F1011" t="s">
        <v>48</v>
      </c>
      <c r="G1011" t="s">
        <v>55</v>
      </c>
      <c r="H1011" t="s">
        <v>32</v>
      </c>
      <c r="I1011" t="s">
        <v>41</v>
      </c>
      <c r="J1011" s="2">
        <v>44995</v>
      </c>
      <c r="K1011" s="2">
        <v>44998</v>
      </c>
      <c r="L1011" s="2">
        <v>45002</v>
      </c>
      <c r="M1011" s="2">
        <v>45004</v>
      </c>
      <c r="N1011" s="2">
        <v>45009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74</v>
      </c>
      <c r="U1011">
        <v>70</v>
      </c>
      <c r="W1011">
        <v>8</v>
      </c>
    </row>
    <row r="1012" spans="1:25">
      <c r="A1012" s="1" t="s">
        <v>1081</v>
      </c>
      <c r="B1012" t="s">
        <v>70</v>
      </c>
      <c r="C1012" t="s">
        <v>71</v>
      </c>
      <c r="D1012" t="s">
        <v>44</v>
      </c>
      <c r="E1012" t="s">
        <v>66</v>
      </c>
      <c r="F1012" t="s">
        <v>48</v>
      </c>
      <c r="G1012" t="s">
        <v>45</v>
      </c>
      <c r="H1012" t="s">
        <v>32</v>
      </c>
      <c r="I1012" t="s">
        <v>41</v>
      </c>
      <c r="J1012" s="2">
        <v>45206</v>
      </c>
      <c r="K1012" s="2">
        <v>45210</v>
      </c>
      <c r="L1012" s="2">
        <v>45215</v>
      </c>
      <c r="M1012" s="2">
        <v>45220</v>
      </c>
      <c r="N1012" s="2">
        <v>45243</v>
      </c>
      <c r="O1012">
        <v>1</v>
      </c>
      <c r="P1012">
        <v>1</v>
      </c>
      <c r="Q1012">
        <v>1</v>
      </c>
      <c r="R1012">
        <v>1</v>
      </c>
      <c r="S1012">
        <v>0</v>
      </c>
      <c r="T1012" t="s">
        <v>61</v>
      </c>
      <c r="U1012">
        <v>90</v>
      </c>
      <c r="V1012">
        <v>37</v>
      </c>
      <c r="W1012">
        <v>3</v>
      </c>
      <c r="X1012">
        <v>1478219</v>
      </c>
    </row>
    <row r="1013" spans="1:25">
      <c r="A1013" s="1" t="s">
        <v>1082</v>
      </c>
      <c r="B1013" t="s">
        <v>70</v>
      </c>
      <c r="C1013" t="s">
        <v>37</v>
      </c>
      <c r="D1013" t="s">
        <v>59</v>
      </c>
      <c r="E1013" t="s">
        <v>63</v>
      </c>
      <c r="F1013" t="s">
        <v>38</v>
      </c>
      <c r="G1013" t="s">
        <v>45</v>
      </c>
      <c r="H1013" t="s">
        <v>56</v>
      </c>
      <c r="I1013" t="s">
        <v>41</v>
      </c>
      <c r="J1013" s="2">
        <v>45386</v>
      </c>
      <c r="K1013" s="2">
        <v>45391</v>
      </c>
      <c r="L1013" s="2">
        <v>45397</v>
      </c>
      <c r="M1013" s="2">
        <v>45402</v>
      </c>
      <c r="N1013" s="2">
        <v>45425</v>
      </c>
      <c r="O1013">
        <v>1</v>
      </c>
      <c r="P1013">
        <v>1</v>
      </c>
      <c r="Q1013">
        <v>1</v>
      </c>
      <c r="R1013">
        <v>1</v>
      </c>
      <c r="S1013">
        <v>0</v>
      </c>
      <c r="T1013" t="s">
        <v>61</v>
      </c>
      <c r="U1013">
        <v>53</v>
      </c>
      <c r="V1013">
        <v>39</v>
      </c>
      <c r="W1013">
        <v>3</v>
      </c>
      <c r="X1013">
        <v>506499</v>
      </c>
    </row>
    <row r="1014" spans="1:25">
      <c r="A1014" s="1" t="s">
        <v>1083</v>
      </c>
      <c r="B1014" t="s">
        <v>58</v>
      </c>
      <c r="C1014" t="s">
        <v>78</v>
      </c>
      <c r="D1014" t="s">
        <v>44</v>
      </c>
      <c r="E1014" t="s">
        <v>29</v>
      </c>
      <c r="F1014" t="s">
        <v>30</v>
      </c>
      <c r="G1014" t="s">
        <v>55</v>
      </c>
      <c r="H1014" t="s">
        <v>32</v>
      </c>
      <c r="I1014" t="s">
        <v>41</v>
      </c>
      <c r="J1014" s="2">
        <v>45381</v>
      </c>
      <c r="K1014" s="2">
        <v>45383</v>
      </c>
      <c r="L1014" s="2">
        <v>45393</v>
      </c>
      <c r="M1014" s="2">
        <v>45399</v>
      </c>
      <c r="N1014" s="2">
        <v>45401</v>
      </c>
      <c r="O1014">
        <v>1</v>
      </c>
      <c r="P1014">
        <v>0</v>
      </c>
      <c r="Q1014">
        <v>0</v>
      </c>
      <c r="R1014">
        <v>0</v>
      </c>
      <c r="S1014">
        <v>0</v>
      </c>
      <c r="T1014" t="s">
        <v>34</v>
      </c>
      <c r="U1014">
        <v>69</v>
      </c>
      <c r="W1014">
        <v>7</v>
      </c>
    </row>
    <row r="1015" spans="1:25">
      <c r="A1015" s="1" t="s">
        <v>1084</v>
      </c>
      <c r="B1015" t="s">
        <v>36</v>
      </c>
      <c r="C1015" t="s">
        <v>71</v>
      </c>
      <c r="D1015" t="s">
        <v>44</v>
      </c>
      <c r="E1015" t="s">
        <v>54</v>
      </c>
      <c r="F1015" t="s">
        <v>64</v>
      </c>
      <c r="G1015" t="s">
        <v>31</v>
      </c>
      <c r="H1015" t="s">
        <v>56</v>
      </c>
      <c r="I1015" t="s">
        <v>33</v>
      </c>
      <c r="J1015" s="2">
        <v>45156</v>
      </c>
      <c r="K1015" s="2">
        <v>45161</v>
      </c>
      <c r="L1015" s="2">
        <v>45168</v>
      </c>
      <c r="M1015" s="2">
        <v>45170</v>
      </c>
      <c r="N1015" s="2">
        <v>45176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74</v>
      </c>
      <c r="U1015">
        <v>97</v>
      </c>
      <c r="W1015">
        <v>4</v>
      </c>
    </row>
    <row r="1016" spans="1:25">
      <c r="A1016" s="1" t="s">
        <v>1085</v>
      </c>
      <c r="B1016" t="s">
        <v>70</v>
      </c>
      <c r="C1016" t="s">
        <v>37</v>
      </c>
      <c r="D1016" t="s">
        <v>59</v>
      </c>
      <c r="E1016" t="s">
        <v>54</v>
      </c>
      <c r="F1016" t="s">
        <v>64</v>
      </c>
      <c r="G1016" t="s">
        <v>31</v>
      </c>
      <c r="H1016" t="s">
        <v>32</v>
      </c>
      <c r="I1016" t="s">
        <v>33</v>
      </c>
      <c r="J1016" s="2">
        <v>45317</v>
      </c>
      <c r="K1016" s="2">
        <v>45322</v>
      </c>
      <c r="L1016" s="2">
        <v>45332</v>
      </c>
      <c r="M1016" s="2">
        <v>45337</v>
      </c>
      <c r="N1016" s="2">
        <v>45351</v>
      </c>
      <c r="O1016">
        <v>1</v>
      </c>
      <c r="P1016">
        <v>1</v>
      </c>
      <c r="Q1016">
        <v>1</v>
      </c>
      <c r="R1016">
        <v>1</v>
      </c>
      <c r="S1016">
        <v>0</v>
      </c>
      <c r="T1016" t="s">
        <v>61</v>
      </c>
      <c r="U1016">
        <v>83</v>
      </c>
      <c r="V1016">
        <v>34</v>
      </c>
      <c r="W1016">
        <v>3</v>
      </c>
      <c r="X1016">
        <v>529170</v>
      </c>
    </row>
    <row r="1017" spans="1:25">
      <c r="A1017" s="1" t="s">
        <v>1086</v>
      </c>
      <c r="B1017" t="s">
        <v>43</v>
      </c>
      <c r="C1017" t="s">
        <v>71</v>
      </c>
      <c r="D1017" t="s">
        <v>73</v>
      </c>
      <c r="E1017" t="s">
        <v>29</v>
      </c>
      <c r="F1017" t="s">
        <v>76</v>
      </c>
      <c r="G1017" t="s">
        <v>60</v>
      </c>
      <c r="H1017" t="s">
        <v>40</v>
      </c>
      <c r="I1017" t="s">
        <v>41</v>
      </c>
      <c r="J1017" s="2">
        <v>44932</v>
      </c>
      <c r="K1017" s="2">
        <v>44937</v>
      </c>
      <c r="L1017" s="2">
        <v>44946</v>
      </c>
      <c r="M1017" s="2">
        <v>44949</v>
      </c>
      <c r="N1017" s="2">
        <v>44956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74</v>
      </c>
      <c r="U1017">
        <v>83</v>
      </c>
      <c r="W1017">
        <v>4</v>
      </c>
    </row>
    <row r="1018" spans="1:25">
      <c r="A1018" s="1" t="s">
        <v>1087</v>
      </c>
      <c r="B1018" t="s">
        <v>43</v>
      </c>
      <c r="C1018" t="s">
        <v>71</v>
      </c>
      <c r="D1018" t="s">
        <v>73</v>
      </c>
      <c r="E1018" t="s">
        <v>63</v>
      </c>
      <c r="F1018" t="s">
        <v>30</v>
      </c>
      <c r="G1018" t="s">
        <v>55</v>
      </c>
      <c r="H1018" t="s">
        <v>40</v>
      </c>
      <c r="I1018" t="s">
        <v>33</v>
      </c>
      <c r="J1018" s="2">
        <v>45173</v>
      </c>
      <c r="K1018" s="2">
        <v>45175</v>
      </c>
      <c r="L1018" s="2">
        <v>45182</v>
      </c>
      <c r="M1018" s="2">
        <v>45189</v>
      </c>
      <c r="N1018" s="2">
        <v>45189</v>
      </c>
      <c r="O1018">
        <v>1</v>
      </c>
      <c r="P1018">
        <v>1</v>
      </c>
      <c r="Q1018">
        <v>0</v>
      </c>
      <c r="R1018">
        <v>0</v>
      </c>
      <c r="S1018">
        <v>0</v>
      </c>
      <c r="T1018" t="s">
        <v>34</v>
      </c>
      <c r="U1018">
        <v>66</v>
      </c>
      <c r="W1018">
        <v>4</v>
      </c>
    </row>
    <row r="1019" spans="1:25">
      <c r="A1019" s="1" t="s">
        <v>1088</v>
      </c>
      <c r="B1019" t="s">
        <v>36</v>
      </c>
      <c r="C1019" t="s">
        <v>71</v>
      </c>
      <c r="D1019" t="s">
        <v>52</v>
      </c>
      <c r="E1019" t="s">
        <v>29</v>
      </c>
      <c r="F1019" t="s">
        <v>38</v>
      </c>
      <c r="G1019" t="s">
        <v>39</v>
      </c>
      <c r="H1019" t="s">
        <v>40</v>
      </c>
      <c r="I1019" t="s">
        <v>33</v>
      </c>
      <c r="J1019" s="2">
        <v>45248</v>
      </c>
      <c r="K1019" s="2">
        <v>45250</v>
      </c>
      <c r="L1019" s="2">
        <v>45253</v>
      </c>
      <c r="M1019" s="2">
        <v>45259</v>
      </c>
      <c r="N1019" s="2">
        <v>45265</v>
      </c>
      <c r="O1019">
        <v>0</v>
      </c>
      <c r="P1019">
        <v>0</v>
      </c>
      <c r="Q1019">
        <v>0</v>
      </c>
      <c r="R1019">
        <v>0</v>
      </c>
      <c r="S1019">
        <v>1</v>
      </c>
      <c r="T1019" t="s">
        <v>74</v>
      </c>
      <c r="U1019">
        <v>96</v>
      </c>
      <c r="W1019">
        <v>4</v>
      </c>
    </row>
    <row r="1020" spans="1:25">
      <c r="A1020" s="1" t="s">
        <v>1089</v>
      </c>
      <c r="B1020" t="s">
        <v>26</v>
      </c>
      <c r="C1020" t="s">
        <v>71</v>
      </c>
      <c r="D1020" t="s">
        <v>28</v>
      </c>
      <c r="E1020" t="s">
        <v>63</v>
      </c>
      <c r="F1020" t="s">
        <v>64</v>
      </c>
      <c r="G1020" t="s">
        <v>55</v>
      </c>
      <c r="H1020" t="s">
        <v>56</v>
      </c>
      <c r="I1020" t="s">
        <v>41</v>
      </c>
      <c r="J1020" s="2">
        <v>44993</v>
      </c>
      <c r="K1020" s="2">
        <v>44995</v>
      </c>
      <c r="L1020" s="2">
        <v>44999</v>
      </c>
      <c r="M1020" s="2">
        <v>45001</v>
      </c>
      <c r="N1020" s="2">
        <v>45006</v>
      </c>
      <c r="O1020">
        <v>1</v>
      </c>
      <c r="P1020">
        <v>1</v>
      </c>
      <c r="Q1020">
        <v>0</v>
      </c>
      <c r="R1020">
        <v>0</v>
      </c>
      <c r="S1020">
        <v>0</v>
      </c>
      <c r="T1020" t="s">
        <v>34</v>
      </c>
      <c r="U1020">
        <v>59</v>
      </c>
      <c r="W1020">
        <v>6</v>
      </c>
    </row>
    <row r="1021" spans="1:25">
      <c r="A1021" s="1" t="s">
        <v>1090</v>
      </c>
      <c r="B1021" t="s">
        <v>58</v>
      </c>
      <c r="C1021" t="s">
        <v>47</v>
      </c>
      <c r="D1021" t="s">
        <v>59</v>
      </c>
      <c r="E1021" t="s">
        <v>29</v>
      </c>
      <c r="F1021" t="s">
        <v>30</v>
      </c>
      <c r="G1021" t="s">
        <v>39</v>
      </c>
      <c r="H1021" t="s">
        <v>40</v>
      </c>
      <c r="I1021" t="s">
        <v>41</v>
      </c>
      <c r="J1021" s="2">
        <v>45117</v>
      </c>
      <c r="K1021" s="2">
        <v>45118</v>
      </c>
      <c r="L1021" s="2">
        <v>45123</v>
      </c>
      <c r="M1021" s="2">
        <v>45127</v>
      </c>
      <c r="N1021" s="2">
        <v>45134</v>
      </c>
      <c r="O1021">
        <v>1</v>
      </c>
      <c r="P1021">
        <v>1</v>
      </c>
      <c r="Q1021">
        <v>1</v>
      </c>
      <c r="R1021">
        <v>0</v>
      </c>
      <c r="S1021">
        <v>0</v>
      </c>
      <c r="T1021" t="s">
        <v>49</v>
      </c>
      <c r="U1021">
        <v>47</v>
      </c>
      <c r="W1021">
        <v>11</v>
      </c>
      <c r="X1021">
        <v>2477663</v>
      </c>
      <c r="Y1021" t="s">
        <v>87</v>
      </c>
    </row>
    <row r="1022" spans="1:25">
      <c r="A1022" s="1" t="s">
        <v>1091</v>
      </c>
      <c r="B1022" t="s">
        <v>90</v>
      </c>
      <c r="C1022" t="s">
        <v>47</v>
      </c>
      <c r="D1022" t="s">
        <v>59</v>
      </c>
      <c r="E1022" t="s">
        <v>29</v>
      </c>
      <c r="F1022" t="s">
        <v>76</v>
      </c>
      <c r="G1022" t="s">
        <v>55</v>
      </c>
      <c r="H1022" t="s">
        <v>40</v>
      </c>
      <c r="I1022" t="s">
        <v>41</v>
      </c>
      <c r="J1022" s="2">
        <v>45218</v>
      </c>
      <c r="K1022" s="2">
        <v>45219</v>
      </c>
      <c r="L1022" s="2">
        <v>45225</v>
      </c>
      <c r="M1022" s="2">
        <v>45229</v>
      </c>
      <c r="N1022" s="2">
        <v>45243</v>
      </c>
      <c r="O1022">
        <v>1</v>
      </c>
      <c r="P1022">
        <v>1</v>
      </c>
      <c r="Q1022">
        <v>0</v>
      </c>
      <c r="R1022">
        <v>0</v>
      </c>
      <c r="S1022">
        <v>0</v>
      </c>
      <c r="T1022" t="s">
        <v>34</v>
      </c>
      <c r="U1022">
        <v>85</v>
      </c>
      <c r="W1022">
        <v>14</v>
      </c>
    </row>
    <row r="1023" spans="1:25">
      <c r="A1023" s="1" t="s">
        <v>1092</v>
      </c>
      <c r="B1023" t="s">
        <v>26</v>
      </c>
      <c r="C1023" t="s">
        <v>27</v>
      </c>
      <c r="D1023" t="s">
        <v>59</v>
      </c>
      <c r="E1023" t="s">
        <v>29</v>
      </c>
      <c r="F1023" t="s">
        <v>30</v>
      </c>
      <c r="G1023" t="s">
        <v>60</v>
      </c>
      <c r="H1023" t="s">
        <v>56</v>
      </c>
      <c r="I1023" t="s">
        <v>41</v>
      </c>
      <c r="J1023" s="2">
        <v>45183</v>
      </c>
      <c r="K1023" s="2">
        <v>45188</v>
      </c>
      <c r="L1023" s="2">
        <v>45196</v>
      </c>
      <c r="M1023" s="2">
        <v>45200</v>
      </c>
      <c r="N1023" s="2">
        <v>45205</v>
      </c>
      <c r="O1023">
        <v>1</v>
      </c>
      <c r="P1023">
        <v>1</v>
      </c>
      <c r="Q1023">
        <v>1</v>
      </c>
      <c r="R1023">
        <v>0</v>
      </c>
      <c r="S1023">
        <v>1</v>
      </c>
      <c r="T1023" t="s">
        <v>49</v>
      </c>
      <c r="U1023">
        <v>69</v>
      </c>
      <c r="W1023">
        <v>1</v>
      </c>
      <c r="X1023">
        <v>696544</v>
      </c>
      <c r="Y1023" t="s">
        <v>127</v>
      </c>
    </row>
    <row r="1024" spans="1:25">
      <c r="A1024" s="1" t="s">
        <v>1093</v>
      </c>
      <c r="B1024" t="s">
        <v>90</v>
      </c>
      <c r="C1024" t="s">
        <v>78</v>
      </c>
      <c r="D1024" t="s">
        <v>44</v>
      </c>
      <c r="E1024" t="s">
        <v>54</v>
      </c>
      <c r="F1024" t="s">
        <v>30</v>
      </c>
      <c r="G1024" t="s">
        <v>31</v>
      </c>
      <c r="H1024" t="s">
        <v>40</v>
      </c>
      <c r="I1024" t="s">
        <v>33</v>
      </c>
      <c r="J1024" s="2">
        <v>45066</v>
      </c>
      <c r="K1024" s="2">
        <v>45068</v>
      </c>
      <c r="L1024" s="2">
        <v>45076</v>
      </c>
      <c r="M1024" s="2">
        <v>45082</v>
      </c>
      <c r="N1024" s="2">
        <v>45085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74</v>
      </c>
      <c r="U1024">
        <v>76</v>
      </c>
      <c r="W1024">
        <v>10</v>
      </c>
    </row>
    <row r="1025" spans="1:25">
      <c r="A1025" s="1" t="s">
        <v>1094</v>
      </c>
      <c r="B1025" t="s">
        <v>70</v>
      </c>
      <c r="C1025" t="s">
        <v>37</v>
      </c>
      <c r="D1025" t="s">
        <v>44</v>
      </c>
      <c r="E1025" t="s">
        <v>102</v>
      </c>
      <c r="F1025" t="s">
        <v>76</v>
      </c>
      <c r="G1025" t="s">
        <v>55</v>
      </c>
      <c r="H1025" t="s">
        <v>56</v>
      </c>
      <c r="I1025" t="s">
        <v>41</v>
      </c>
      <c r="J1025" s="2">
        <v>45138</v>
      </c>
      <c r="K1025" s="2">
        <v>45142</v>
      </c>
      <c r="L1025" s="2">
        <v>45151</v>
      </c>
      <c r="M1025" s="2">
        <v>45157</v>
      </c>
      <c r="N1025" s="2">
        <v>45174</v>
      </c>
      <c r="O1025">
        <v>1</v>
      </c>
      <c r="P1025">
        <v>0</v>
      </c>
      <c r="Q1025">
        <v>0</v>
      </c>
      <c r="R1025">
        <v>0</v>
      </c>
      <c r="S1025">
        <v>0</v>
      </c>
      <c r="T1025" t="s">
        <v>34</v>
      </c>
      <c r="U1025">
        <v>70</v>
      </c>
      <c r="W1025">
        <v>4</v>
      </c>
    </row>
    <row r="1026" spans="1:25">
      <c r="A1026" s="1" t="s">
        <v>1095</v>
      </c>
      <c r="B1026" t="s">
        <v>26</v>
      </c>
      <c r="C1026" t="s">
        <v>27</v>
      </c>
      <c r="D1026" t="s">
        <v>44</v>
      </c>
      <c r="E1026" t="s">
        <v>29</v>
      </c>
      <c r="F1026" t="s">
        <v>48</v>
      </c>
      <c r="G1026" t="s">
        <v>31</v>
      </c>
      <c r="H1026" t="s">
        <v>56</v>
      </c>
      <c r="I1026" t="s">
        <v>41</v>
      </c>
      <c r="J1026" s="2">
        <v>45136</v>
      </c>
      <c r="K1026" s="2">
        <v>45140</v>
      </c>
      <c r="L1026" s="2">
        <v>45149</v>
      </c>
      <c r="M1026" s="2">
        <v>45155</v>
      </c>
      <c r="N1026" s="2">
        <v>45149</v>
      </c>
      <c r="O1026">
        <v>1</v>
      </c>
      <c r="P1026">
        <v>0</v>
      </c>
      <c r="Q1026">
        <v>0</v>
      </c>
      <c r="R1026">
        <v>0</v>
      </c>
      <c r="S1026">
        <v>0</v>
      </c>
      <c r="T1026" t="s">
        <v>34</v>
      </c>
      <c r="U1026">
        <v>55</v>
      </c>
      <c r="W1026">
        <v>1</v>
      </c>
    </row>
    <row r="1027" spans="1:25">
      <c r="A1027" s="1" t="s">
        <v>1096</v>
      </c>
      <c r="B1027" t="s">
        <v>70</v>
      </c>
      <c r="C1027" t="s">
        <v>37</v>
      </c>
      <c r="D1027" t="s">
        <v>73</v>
      </c>
      <c r="E1027" t="s">
        <v>54</v>
      </c>
      <c r="F1027" t="s">
        <v>48</v>
      </c>
      <c r="G1027" t="s">
        <v>39</v>
      </c>
      <c r="H1027" t="s">
        <v>32</v>
      </c>
      <c r="I1027" t="s">
        <v>33</v>
      </c>
      <c r="J1027" s="2">
        <v>45182</v>
      </c>
      <c r="K1027" s="2">
        <v>45186</v>
      </c>
      <c r="L1027" s="2">
        <v>45192</v>
      </c>
      <c r="M1027" s="2">
        <v>45194</v>
      </c>
      <c r="N1027" s="2">
        <v>45214</v>
      </c>
      <c r="O1027">
        <v>1</v>
      </c>
      <c r="P1027">
        <v>1</v>
      </c>
      <c r="Q1027">
        <v>0</v>
      </c>
      <c r="R1027">
        <v>0</v>
      </c>
      <c r="S1027">
        <v>0</v>
      </c>
      <c r="T1027" t="s">
        <v>34</v>
      </c>
      <c r="U1027">
        <v>46</v>
      </c>
      <c r="W1027">
        <v>2</v>
      </c>
    </row>
    <row r="1028" spans="1:25">
      <c r="A1028" s="1" t="s">
        <v>1097</v>
      </c>
      <c r="B1028" t="s">
        <v>90</v>
      </c>
      <c r="C1028" t="s">
        <v>37</v>
      </c>
      <c r="D1028" t="s">
        <v>44</v>
      </c>
      <c r="E1028" t="s">
        <v>29</v>
      </c>
      <c r="F1028" t="s">
        <v>76</v>
      </c>
      <c r="G1028" t="s">
        <v>45</v>
      </c>
      <c r="H1028" t="s">
        <v>40</v>
      </c>
      <c r="I1028" t="s">
        <v>33</v>
      </c>
      <c r="J1028" s="2">
        <v>45229</v>
      </c>
      <c r="K1028" s="2">
        <v>45231</v>
      </c>
      <c r="L1028" s="2">
        <v>45240</v>
      </c>
      <c r="M1028" s="2">
        <v>45242</v>
      </c>
      <c r="N1028" s="2">
        <v>45258</v>
      </c>
      <c r="O1028">
        <v>1</v>
      </c>
      <c r="P1028">
        <v>0</v>
      </c>
      <c r="Q1028">
        <v>0</v>
      </c>
      <c r="R1028">
        <v>0</v>
      </c>
      <c r="S1028">
        <v>0</v>
      </c>
      <c r="T1028" t="s">
        <v>34</v>
      </c>
      <c r="U1028">
        <v>63</v>
      </c>
      <c r="W1028">
        <v>1</v>
      </c>
    </row>
    <row r="1029" spans="1:25">
      <c r="A1029" s="1" t="s">
        <v>1098</v>
      </c>
      <c r="B1029" t="s">
        <v>26</v>
      </c>
      <c r="C1029" t="s">
        <v>47</v>
      </c>
      <c r="D1029" t="s">
        <v>28</v>
      </c>
      <c r="E1029" t="s">
        <v>66</v>
      </c>
      <c r="F1029" t="s">
        <v>67</v>
      </c>
      <c r="G1029" t="s">
        <v>45</v>
      </c>
      <c r="H1029" t="s">
        <v>56</v>
      </c>
      <c r="I1029" t="s">
        <v>33</v>
      </c>
      <c r="J1029" s="2">
        <v>45099</v>
      </c>
      <c r="K1029" s="2">
        <v>45102</v>
      </c>
      <c r="L1029" s="2">
        <v>45112</v>
      </c>
      <c r="M1029" s="2">
        <v>45119</v>
      </c>
      <c r="N1029" s="2">
        <v>45115</v>
      </c>
      <c r="O1029">
        <v>1</v>
      </c>
      <c r="P1029">
        <v>1</v>
      </c>
      <c r="Q1029">
        <v>1</v>
      </c>
      <c r="R1029">
        <v>0</v>
      </c>
      <c r="S1029">
        <v>0</v>
      </c>
      <c r="T1029" t="s">
        <v>49</v>
      </c>
      <c r="U1029">
        <v>65</v>
      </c>
      <c r="W1029">
        <v>9</v>
      </c>
      <c r="X1029">
        <v>2158956</v>
      </c>
      <c r="Y1029" t="s">
        <v>68</v>
      </c>
    </row>
    <row r="1030" spans="1:25">
      <c r="A1030" s="1" t="s">
        <v>1099</v>
      </c>
      <c r="B1030" t="s">
        <v>43</v>
      </c>
      <c r="C1030" t="s">
        <v>37</v>
      </c>
      <c r="D1030" t="s">
        <v>28</v>
      </c>
      <c r="E1030" t="s">
        <v>66</v>
      </c>
      <c r="F1030" t="s">
        <v>48</v>
      </c>
      <c r="G1030" t="s">
        <v>55</v>
      </c>
      <c r="H1030" t="s">
        <v>56</v>
      </c>
      <c r="I1030" t="s">
        <v>33</v>
      </c>
      <c r="J1030" s="2">
        <v>44987</v>
      </c>
      <c r="K1030" s="2">
        <v>44991</v>
      </c>
      <c r="L1030" s="2">
        <v>44998</v>
      </c>
      <c r="M1030" s="2">
        <v>45001</v>
      </c>
      <c r="N1030" s="2">
        <v>45014</v>
      </c>
      <c r="O1030">
        <v>1</v>
      </c>
      <c r="P1030">
        <v>1</v>
      </c>
      <c r="Q1030">
        <v>1</v>
      </c>
      <c r="R1030">
        <v>1</v>
      </c>
      <c r="S1030">
        <v>0</v>
      </c>
      <c r="T1030" t="s">
        <v>61</v>
      </c>
      <c r="U1030">
        <v>73</v>
      </c>
      <c r="V1030">
        <v>27</v>
      </c>
      <c r="W1030">
        <v>4</v>
      </c>
      <c r="X1030">
        <v>856275</v>
      </c>
    </row>
    <row r="1031" spans="1:25">
      <c r="A1031" s="1" t="s">
        <v>1100</v>
      </c>
      <c r="B1031" t="s">
        <v>70</v>
      </c>
      <c r="C1031" t="s">
        <v>37</v>
      </c>
      <c r="D1031" t="s">
        <v>59</v>
      </c>
      <c r="E1031" t="s">
        <v>102</v>
      </c>
      <c r="F1031" t="s">
        <v>38</v>
      </c>
      <c r="G1031" t="s">
        <v>60</v>
      </c>
      <c r="H1031" t="s">
        <v>32</v>
      </c>
      <c r="I1031" t="s">
        <v>33</v>
      </c>
      <c r="J1031" s="2">
        <v>45311</v>
      </c>
      <c r="K1031" s="2">
        <v>45314</v>
      </c>
      <c r="L1031" s="2">
        <v>45317</v>
      </c>
      <c r="M1031" s="2">
        <v>45320</v>
      </c>
      <c r="N1031" s="2">
        <v>45335</v>
      </c>
      <c r="O1031">
        <v>1</v>
      </c>
      <c r="P1031">
        <v>1</v>
      </c>
      <c r="Q1031">
        <v>1</v>
      </c>
      <c r="R1031">
        <v>1</v>
      </c>
      <c r="S1031">
        <v>0</v>
      </c>
      <c r="T1031" t="s">
        <v>61</v>
      </c>
      <c r="U1031">
        <v>96</v>
      </c>
      <c r="V1031">
        <v>24</v>
      </c>
      <c r="W1031">
        <v>3</v>
      </c>
      <c r="X1031">
        <v>512561</v>
      </c>
    </row>
    <row r="1032" spans="1:25">
      <c r="A1032" s="1" t="s">
        <v>1101</v>
      </c>
      <c r="B1032" t="s">
        <v>43</v>
      </c>
      <c r="C1032" t="s">
        <v>71</v>
      </c>
      <c r="D1032" t="s">
        <v>59</v>
      </c>
      <c r="E1032" t="s">
        <v>54</v>
      </c>
      <c r="F1032" t="s">
        <v>64</v>
      </c>
      <c r="G1032" t="s">
        <v>39</v>
      </c>
      <c r="H1032" t="s">
        <v>56</v>
      </c>
      <c r="I1032" t="s">
        <v>41</v>
      </c>
      <c r="J1032" s="2">
        <v>45159</v>
      </c>
      <c r="K1032" s="2">
        <v>45164</v>
      </c>
      <c r="L1032" s="2">
        <v>45169</v>
      </c>
      <c r="M1032" s="2">
        <v>45171</v>
      </c>
      <c r="N1032" s="2">
        <v>45185</v>
      </c>
      <c r="O1032">
        <v>1</v>
      </c>
      <c r="P1032">
        <v>0</v>
      </c>
      <c r="Q1032">
        <v>0</v>
      </c>
      <c r="R1032">
        <v>0</v>
      </c>
      <c r="S1032">
        <v>0</v>
      </c>
      <c r="T1032" t="s">
        <v>34</v>
      </c>
      <c r="U1032">
        <v>53</v>
      </c>
      <c r="W1032">
        <v>4</v>
      </c>
    </row>
    <row r="1033" spans="1:25">
      <c r="A1033" s="1" t="s">
        <v>1102</v>
      </c>
      <c r="B1033" t="s">
        <v>43</v>
      </c>
      <c r="C1033" t="s">
        <v>78</v>
      </c>
      <c r="D1033" t="s">
        <v>59</v>
      </c>
      <c r="E1033" t="s">
        <v>54</v>
      </c>
      <c r="F1033" t="s">
        <v>64</v>
      </c>
      <c r="G1033" t="s">
        <v>60</v>
      </c>
      <c r="H1033" t="s">
        <v>32</v>
      </c>
      <c r="I1033" t="s">
        <v>41</v>
      </c>
      <c r="J1033" s="2">
        <v>45438</v>
      </c>
      <c r="K1033" s="2">
        <v>45443</v>
      </c>
      <c r="L1033" s="2">
        <v>45451</v>
      </c>
      <c r="M1033" s="2">
        <v>45457</v>
      </c>
      <c r="N1033" s="2">
        <v>45464</v>
      </c>
      <c r="O1033">
        <v>1</v>
      </c>
      <c r="P1033">
        <v>1</v>
      </c>
      <c r="Q1033">
        <v>0</v>
      </c>
      <c r="R1033">
        <v>0</v>
      </c>
      <c r="S1033">
        <v>1</v>
      </c>
      <c r="T1033" t="s">
        <v>34</v>
      </c>
      <c r="U1033">
        <v>53</v>
      </c>
      <c r="W1033">
        <v>7</v>
      </c>
    </row>
    <row r="1034" spans="1:25">
      <c r="A1034" s="1" t="s">
        <v>1103</v>
      </c>
      <c r="B1034" t="s">
        <v>70</v>
      </c>
      <c r="C1034" t="s">
        <v>27</v>
      </c>
      <c r="D1034" t="s">
        <v>59</v>
      </c>
      <c r="E1034" t="s">
        <v>54</v>
      </c>
      <c r="F1034" t="s">
        <v>38</v>
      </c>
      <c r="G1034" t="s">
        <v>31</v>
      </c>
      <c r="H1034" t="s">
        <v>32</v>
      </c>
      <c r="I1034" t="s">
        <v>41</v>
      </c>
      <c r="J1034" s="2">
        <v>45330</v>
      </c>
      <c r="K1034" s="2">
        <v>45333</v>
      </c>
      <c r="L1034" s="2">
        <v>45342</v>
      </c>
      <c r="M1034" s="2">
        <v>45346</v>
      </c>
      <c r="N1034" s="2">
        <v>45352</v>
      </c>
      <c r="O1034">
        <v>1</v>
      </c>
      <c r="P1034">
        <v>1</v>
      </c>
      <c r="Q1034">
        <v>1</v>
      </c>
      <c r="R1034">
        <v>1</v>
      </c>
      <c r="S1034">
        <v>0</v>
      </c>
      <c r="T1034" t="s">
        <v>61</v>
      </c>
      <c r="U1034">
        <v>92</v>
      </c>
      <c r="V1034">
        <v>22</v>
      </c>
      <c r="W1034">
        <v>0</v>
      </c>
      <c r="X1034">
        <v>638642</v>
      </c>
    </row>
    <row r="1035" spans="1:25">
      <c r="A1035" s="1" t="s">
        <v>1104</v>
      </c>
      <c r="B1035" t="s">
        <v>36</v>
      </c>
      <c r="C1035" t="s">
        <v>78</v>
      </c>
      <c r="D1035" t="s">
        <v>73</v>
      </c>
      <c r="E1035" t="s">
        <v>66</v>
      </c>
      <c r="F1035" t="s">
        <v>64</v>
      </c>
      <c r="G1035" t="s">
        <v>55</v>
      </c>
      <c r="H1035" t="s">
        <v>56</v>
      </c>
      <c r="I1035" t="s">
        <v>33</v>
      </c>
      <c r="J1035" s="2">
        <v>45162</v>
      </c>
      <c r="K1035" s="2">
        <v>45165</v>
      </c>
      <c r="L1035" s="2">
        <v>45174</v>
      </c>
      <c r="M1035" s="2">
        <v>45179</v>
      </c>
      <c r="N1035" s="2">
        <v>45189</v>
      </c>
      <c r="O1035">
        <v>1</v>
      </c>
      <c r="P1035">
        <v>1</v>
      </c>
      <c r="Q1035">
        <v>1</v>
      </c>
      <c r="R1035">
        <v>0</v>
      </c>
      <c r="S1035">
        <v>1</v>
      </c>
      <c r="T1035" t="s">
        <v>49</v>
      </c>
      <c r="U1035">
        <v>86</v>
      </c>
      <c r="W1035">
        <v>9</v>
      </c>
      <c r="X1035">
        <v>1664885</v>
      </c>
      <c r="Y1035" t="s">
        <v>87</v>
      </c>
    </row>
    <row r="1036" spans="1:25">
      <c r="A1036" s="1" t="s">
        <v>1105</v>
      </c>
      <c r="B1036" t="s">
        <v>36</v>
      </c>
      <c r="C1036" t="s">
        <v>37</v>
      </c>
      <c r="D1036" t="s">
        <v>52</v>
      </c>
      <c r="E1036" t="s">
        <v>66</v>
      </c>
      <c r="F1036" t="s">
        <v>67</v>
      </c>
      <c r="G1036" t="s">
        <v>60</v>
      </c>
      <c r="H1036" t="s">
        <v>32</v>
      </c>
      <c r="I1036" t="s">
        <v>41</v>
      </c>
      <c r="J1036" s="2">
        <v>45331</v>
      </c>
      <c r="K1036" s="2">
        <v>45335</v>
      </c>
      <c r="L1036" s="2">
        <v>45339</v>
      </c>
      <c r="M1036" s="2">
        <v>45345</v>
      </c>
      <c r="N1036" s="2">
        <v>45359</v>
      </c>
      <c r="O1036">
        <v>1</v>
      </c>
      <c r="P1036">
        <v>1</v>
      </c>
      <c r="Q1036">
        <v>0</v>
      </c>
      <c r="R1036">
        <v>0</v>
      </c>
      <c r="S1036">
        <v>0</v>
      </c>
      <c r="T1036" t="s">
        <v>34</v>
      </c>
      <c r="U1036">
        <v>91</v>
      </c>
      <c r="W1036">
        <v>1</v>
      </c>
    </row>
    <row r="1037" spans="1:25">
      <c r="A1037" s="1" t="s">
        <v>1106</v>
      </c>
      <c r="B1037" t="s">
        <v>26</v>
      </c>
      <c r="C1037" t="s">
        <v>78</v>
      </c>
      <c r="D1037" t="s">
        <v>59</v>
      </c>
      <c r="E1037" t="s">
        <v>29</v>
      </c>
      <c r="F1037" t="s">
        <v>30</v>
      </c>
      <c r="G1037" t="s">
        <v>45</v>
      </c>
      <c r="H1037" t="s">
        <v>40</v>
      </c>
      <c r="I1037" t="s">
        <v>33</v>
      </c>
      <c r="J1037" s="2">
        <v>45390</v>
      </c>
      <c r="K1037" s="2">
        <v>45394</v>
      </c>
      <c r="L1037" s="2">
        <v>45403</v>
      </c>
      <c r="M1037" s="2">
        <v>45410</v>
      </c>
      <c r="N1037" s="2">
        <v>45406</v>
      </c>
      <c r="O1037">
        <v>1</v>
      </c>
      <c r="P1037">
        <v>1</v>
      </c>
      <c r="Q1037">
        <v>0</v>
      </c>
      <c r="R1037">
        <v>0</v>
      </c>
      <c r="S1037">
        <v>0</v>
      </c>
      <c r="T1037" t="s">
        <v>34</v>
      </c>
      <c r="U1037">
        <v>65</v>
      </c>
      <c r="W1037">
        <v>9</v>
      </c>
    </row>
    <row r="1038" spans="1:25">
      <c r="A1038" s="1" t="s">
        <v>1107</v>
      </c>
      <c r="B1038" t="s">
        <v>58</v>
      </c>
      <c r="C1038" t="s">
        <v>37</v>
      </c>
      <c r="D1038" t="s">
        <v>44</v>
      </c>
      <c r="E1038" t="s">
        <v>54</v>
      </c>
      <c r="F1038" t="s">
        <v>76</v>
      </c>
      <c r="G1038" t="s">
        <v>60</v>
      </c>
      <c r="H1038" t="s">
        <v>32</v>
      </c>
      <c r="I1038" t="s">
        <v>33</v>
      </c>
      <c r="J1038" s="2">
        <v>45129</v>
      </c>
      <c r="K1038" s="2">
        <v>45132</v>
      </c>
      <c r="L1038" s="2">
        <v>45140</v>
      </c>
      <c r="M1038" s="2">
        <v>45143</v>
      </c>
      <c r="N1038" s="2">
        <v>45144</v>
      </c>
      <c r="O1038">
        <v>1</v>
      </c>
      <c r="P1038">
        <v>0</v>
      </c>
      <c r="Q1038">
        <v>0</v>
      </c>
      <c r="R1038">
        <v>0</v>
      </c>
      <c r="S1038">
        <v>0</v>
      </c>
      <c r="T1038" t="s">
        <v>34</v>
      </c>
      <c r="U1038">
        <v>57</v>
      </c>
      <c r="W1038">
        <v>2</v>
      </c>
    </row>
    <row r="1039" spans="1:25">
      <c r="A1039" s="1" t="s">
        <v>1108</v>
      </c>
      <c r="B1039" t="s">
        <v>70</v>
      </c>
      <c r="C1039" t="s">
        <v>47</v>
      </c>
      <c r="D1039" t="s">
        <v>28</v>
      </c>
      <c r="E1039" t="s">
        <v>63</v>
      </c>
      <c r="F1039" t="s">
        <v>67</v>
      </c>
      <c r="G1039" t="s">
        <v>45</v>
      </c>
      <c r="H1039" t="s">
        <v>56</v>
      </c>
      <c r="I1039" t="s">
        <v>33</v>
      </c>
      <c r="J1039" s="2">
        <v>45183</v>
      </c>
      <c r="K1039" s="2">
        <v>45188</v>
      </c>
      <c r="L1039" s="2">
        <v>45197</v>
      </c>
      <c r="M1039" s="2">
        <v>45202</v>
      </c>
      <c r="N1039" s="2">
        <v>45219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74</v>
      </c>
      <c r="U1039">
        <v>56</v>
      </c>
      <c r="W1039">
        <v>11</v>
      </c>
    </row>
    <row r="1040" spans="1:25">
      <c r="A1040" s="1" t="s">
        <v>1109</v>
      </c>
      <c r="B1040" t="s">
        <v>90</v>
      </c>
      <c r="C1040" t="s">
        <v>27</v>
      </c>
      <c r="D1040" t="s">
        <v>44</v>
      </c>
      <c r="E1040" t="s">
        <v>63</v>
      </c>
      <c r="F1040" t="s">
        <v>67</v>
      </c>
      <c r="G1040" t="s">
        <v>31</v>
      </c>
      <c r="H1040" t="s">
        <v>56</v>
      </c>
      <c r="I1040" t="s">
        <v>33</v>
      </c>
      <c r="J1040" s="2">
        <v>45032</v>
      </c>
      <c r="K1040" s="2">
        <v>45037</v>
      </c>
      <c r="L1040" s="2">
        <v>45040</v>
      </c>
      <c r="M1040" s="2">
        <v>45044</v>
      </c>
      <c r="N1040" s="2">
        <v>45067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74</v>
      </c>
      <c r="U1040">
        <v>77</v>
      </c>
      <c r="W1040">
        <v>2</v>
      </c>
    </row>
    <row r="1041" spans="1:25">
      <c r="A1041" s="1" t="s">
        <v>1110</v>
      </c>
      <c r="B1041" t="s">
        <v>70</v>
      </c>
      <c r="C1041" t="s">
        <v>71</v>
      </c>
      <c r="D1041" t="s">
        <v>44</v>
      </c>
      <c r="E1041" t="s">
        <v>102</v>
      </c>
      <c r="F1041" t="s">
        <v>48</v>
      </c>
      <c r="G1041" t="s">
        <v>55</v>
      </c>
      <c r="H1041" t="s">
        <v>40</v>
      </c>
      <c r="I1041" t="s">
        <v>41</v>
      </c>
      <c r="J1041" s="2">
        <v>44959</v>
      </c>
      <c r="K1041" s="2">
        <v>44962</v>
      </c>
      <c r="L1041" s="2">
        <v>44970</v>
      </c>
      <c r="M1041" s="2">
        <v>44976</v>
      </c>
      <c r="N1041" s="2">
        <v>44981</v>
      </c>
      <c r="O1041">
        <v>0</v>
      </c>
      <c r="P1041">
        <v>0</v>
      </c>
      <c r="Q1041">
        <v>0</v>
      </c>
      <c r="R1041">
        <v>0</v>
      </c>
      <c r="S1041">
        <v>0</v>
      </c>
      <c r="T1041" t="s">
        <v>74</v>
      </c>
      <c r="U1041">
        <v>47</v>
      </c>
      <c r="W1041">
        <v>5</v>
      </c>
    </row>
    <row r="1042" spans="1:25">
      <c r="A1042" s="1" t="s">
        <v>1111</v>
      </c>
      <c r="B1042" t="s">
        <v>90</v>
      </c>
      <c r="C1042" t="s">
        <v>71</v>
      </c>
      <c r="D1042" t="s">
        <v>28</v>
      </c>
      <c r="E1042" t="s">
        <v>29</v>
      </c>
      <c r="F1042" t="s">
        <v>67</v>
      </c>
      <c r="G1042" t="s">
        <v>55</v>
      </c>
      <c r="H1042" t="s">
        <v>56</v>
      </c>
      <c r="I1042" t="s">
        <v>33</v>
      </c>
      <c r="J1042" s="2">
        <v>45092</v>
      </c>
      <c r="K1042" s="2">
        <v>45096</v>
      </c>
      <c r="L1042" s="2">
        <v>45105</v>
      </c>
      <c r="M1042" s="2">
        <v>45108</v>
      </c>
      <c r="N1042" s="2">
        <v>45111</v>
      </c>
      <c r="O1042">
        <v>1</v>
      </c>
      <c r="P1042">
        <v>0</v>
      </c>
      <c r="Q1042">
        <v>0</v>
      </c>
      <c r="R1042">
        <v>0</v>
      </c>
      <c r="S1042">
        <v>0</v>
      </c>
      <c r="T1042" t="s">
        <v>34</v>
      </c>
      <c r="U1042">
        <v>51</v>
      </c>
      <c r="W1042">
        <v>5</v>
      </c>
    </row>
    <row r="1043" spans="1:25">
      <c r="A1043" s="1" t="s">
        <v>1112</v>
      </c>
      <c r="B1043" t="s">
        <v>26</v>
      </c>
      <c r="C1043" t="s">
        <v>37</v>
      </c>
      <c r="D1043" t="s">
        <v>44</v>
      </c>
      <c r="E1043" t="s">
        <v>63</v>
      </c>
      <c r="F1043" t="s">
        <v>38</v>
      </c>
      <c r="G1043" t="s">
        <v>45</v>
      </c>
      <c r="H1043" t="s">
        <v>56</v>
      </c>
      <c r="I1043" t="s">
        <v>41</v>
      </c>
      <c r="J1043" s="2">
        <v>45102</v>
      </c>
      <c r="K1043" s="2">
        <v>45106</v>
      </c>
      <c r="L1043" s="2">
        <v>45110</v>
      </c>
      <c r="M1043" s="2">
        <v>45116</v>
      </c>
      <c r="N1043" s="2">
        <v>45118</v>
      </c>
      <c r="O1043">
        <v>1</v>
      </c>
      <c r="P1043">
        <v>0</v>
      </c>
      <c r="Q1043">
        <v>0</v>
      </c>
      <c r="R1043">
        <v>0</v>
      </c>
      <c r="S1043">
        <v>0</v>
      </c>
      <c r="T1043" t="s">
        <v>34</v>
      </c>
      <c r="U1043">
        <v>49</v>
      </c>
      <c r="W1043">
        <v>1</v>
      </c>
    </row>
    <row r="1044" spans="1:25">
      <c r="A1044" s="1" t="s">
        <v>1113</v>
      </c>
      <c r="B1044" t="s">
        <v>70</v>
      </c>
      <c r="C1044" t="s">
        <v>37</v>
      </c>
      <c r="D1044" t="s">
        <v>59</v>
      </c>
      <c r="E1044" t="s">
        <v>66</v>
      </c>
      <c r="F1044" t="s">
        <v>64</v>
      </c>
      <c r="G1044" t="s">
        <v>60</v>
      </c>
      <c r="H1044" t="s">
        <v>56</v>
      </c>
      <c r="I1044" t="s">
        <v>41</v>
      </c>
      <c r="J1044" s="2">
        <v>45062</v>
      </c>
      <c r="K1044" s="2">
        <v>45065</v>
      </c>
      <c r="L1044" s="2">
        <v>45074</v>
      </c>
      <c r="M1044" s="2">
        <v>45076</v>
      </c>
      <c r="N1044" s="2">
        <v>45093</v>
      </c>
      <c r="O1044">
        <v>1</v>
      </c>
      <c r="P1044">
        <v>0</v>
      </c>
      <c r="Q1044">
        <v>0</v>
      </c>
      <c r="R1044">
        <v>0</v>
      </c>
      <c r="S1044">
        <v>0</v>
      </c>
      <c r="T1044" t="s">
        <v>34</v>
      </c>
      <c r="U1044">
        <v>57</v>
      </c>
      <c r="W1044">
        <v>3</v>
      </c>
    </row>
    <row r="1045" spans="1:25">
      <c r="A1045" s="1" t="s">
        <v>1114</v>
      </c>
      <c r="B1045" t="s">
        <v>43</v>
      </c>
      <c r="C1045" t="s">
        <v>27</v>
      </c>
      <c r="D1045" t="s">
        <v>59</v>
      </c>
      <c r="E1045" t="s">
        <v>66</v>
      </c>
      <c r="F1045" t="s">
        <v>48</v>
      </c>
      <c r="G1045" t="s">
        <v>55</v>
      </c>
      <c r="H1045" t="s">
        <v>40</v>
      </c>
      <c r="I1045" t="s">
        <v>41</v>
      </c>
      <c r="J1045" s="2">
        <v>45382</v>
      </c>
      <c r="K1045" s="2">
        <v>45387</v>
      </c>
      <c r="L1045" s="2">
        <v>45396</v>
      </c>
      <c r="M1045" s="2">
        <v>45398</v>
      </c>
      <c r="N1045" s="2">
        <v>45405</v>
      </c>
      <c r="O1045">
        <v>1</v>
      </c>
      <c r="P1045">
        <v>0</v>
      </c>
      <c r="Q1045">
        <v>0</v>
      </c>
      <c r="R1045">
        <v>0</v>
      </c>
      <c r="S1045">
        <v>0</v>
      </c>
      <c r="T1045" t="s">
        <v>34</v>
      </c>
      <c r="U1045">
        <v>51</v>
      </c>
      <c r="W1045">
        <v>2</v>
      </c>
    </row>
    <row r="1046" spans="1:25">
      <c r="A1046" s="1" t="s">
        <v>1115</v>
      </c>
      <c r="B1046" t="s">
        <v>43</v>
      </c>
      <c r="C1046" t="s">
        <v>27</v>
      </c>
      <c r="D1046" t="s">
        <v>28</v>
      </c>
      <c r="E1046" t="s">
        <v>63</v>
      </c>
      <c r="F1046" t="s">
        <v>67</v>
      </c>
      <c r="G1046" t="s">
        <v>55</v>
      </c>
      <c r="H1046" t="s">
        <v>56</v>
      </c>
      <c r="I1046" t="s">
        <v>41</v>
      </c>
      <c r="J1046" s="2">
        <v>45139</v>
      </c>
      <c r="K1046" s="2">
        <v>45144</v>
      </c>
      <c r="L1046" s="2">
        <v>45150</v>
      </c>
      <c r="M1046" s="2">
        <v>45156</v>
      </c>
      <c r="N1046" s="2">
        <v>45164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74</v>
      </c>
      <c r="U1046">
        <v>100</v>
      </c>
      <c r="W1046">
        <v>1</v>
      </c>
    </row>
    <row r="1047" spans="1:25">
      <c r="A1047" s="1" t="s">
        <v>1116</v>
      </c>
      <c r="B1047" t="s">
        <v>36</v>
      </c>
      <c r="C1047" t="s">
        <v>71</v>
      </c>
      <c r="D1047" t="s">
        <v>59</v>
      </c>
      <c r="E1047" t="s">
        <v>102</v>
      </c>
      <c r="F1047" t="s">
        <v>48</v>
      </c>
      <c r="G1047" t="s">
        <v>55</v>
      </c>
      <c r="H1047" t="s">
        <v>40</v>
      </c>
      <c r="I1047" t="s">
        <v>33</v>
      </c>
      <c r="J1047" s="2">
        <v>45388</v>
      </c>
      <c r="K1047" s="2">
        <v>45393</v>
      </c>
      <c r="L1047" s="2">
        <v>45401</v>
      </c>
      <c r="M1047" s="2">
        <v>45404</v>
      </c>
      <c r="N1047" s="2">
        <v>45409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74</v>
      </c>
      <c r="U1047">
        <v>80</v>
      </c>
      <c r="W1047">
        <v>7</v>
      </c>
    </row>
    <row r="1048" spans="1:25">
      <c r="A1048" s="1" t="s">
        <v>1117</v>
      </c>
      <c r="B1048" t="s">
        <v>26</v>
      </c>
      <c r="C1048" t="s">
        <v>71</v>
      </c>
      <c r="D1048" t="s">
        <v>44</v>
      </c>
      <c r="E1048" t="s">
        <v>102</v>
      </c>
      <c r="F1048" t="s">
        <v>38</v>
      </c>
      <c r="G1048" t="s">
        <v>60</v>
      </c>
      <c r="H1048" t="s">
        <v>40</v>
      </c>
      <c r="I1048" t="s">
        <v>41</v>
      </c>
      <c r="J1048" s="2">
        <v>45182</v>
      </c>
      <c r="K1048" s="2">
        <v>45186</v>
      </c>
      <c r="L1048" s="2">
        <v>45192</v>
      </c>
      <c r="M1048" s="2">
        <v>45196</v>
      </c>
      <c r="N1048" s="2">
        <v>45195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74</v>
      </c>
      <c r="U1048">
        <v>66</v>
      </c>
      <c r="W1048">
        <v>3</v>
      </c>
    </row>
    <row r="1049" spans="1:25">
      <c r="A1049" s="1" t="s">
        <v>1118</v>
      </c>
      <c r="B1049" t="s">
        <v>70</v>
      </c>
      <c r="C1049" t="s">
        <v>47</v>
      </c>
      <c r="D1049" t="s">
        <v>28</v>
      </c>
      <c r="E1049" t="s">
        <v>102</v>
      </c>
      <c r="F1049" t="s">
        <v>48</v>
      </c>
      <c r="G1049" t="s">
        <v>39</v>
      </c>
      <c r="H1049" t="s">
        <v>32</v>
      </c>
      <c r="I1049" t="s">
        <v>41</v>
      </c>
      <c r="J1049" s="2">
        <v>45186</v>
      </c>
      <c r="K1049" s="2">
        <v>45188</v>
      </c>
      <c r="L1049" s="2">
        <v>45192</v>
      </c>
      <c r="M1049" s="2">
        <v>45199</v>
      </c>
      <c r="N1049" s="2">
        <v>45216</v>
      </c>
      <c r="O1049">
        <v>1</v>
      </c>
      <c r="P1049">
        <v>1</v>
      </c>
      <c r="Q1049">
        <v>0</v>
      </c>
      <c r="R1049">
        <v>0</v>
      </c>
      <c r="S1049">
        <v>0</v>
      </c>
      <c r="T1049" t="s">
        <v>34</v>
      </c>
      <c r="U1049">
        <v>47</v>
      </c>
      <c r="W1049">
        <v>13</v>
      </c>
    </row>
    <row r="1050" spans="1:25">
      <c r="A1050" s="1" t="s">
        <v>1119</v>
      </c>
      <c r="B1050" t="s">
        <v>43</v>
      </c>
      <c r="C1050" t="s">
        <v>37</v>
      </c>
      <c r="D1050" t="s">
        <v>52</v>
      </c>
      <c r="E1050" t="s">
        <v>54</v>
      </c>
      <c r="F1050" t="s">
        <v>76</v>
      </c>
      <c r="G1050" t="s">
        <v>31</v>
      </c>
      <c r="H1050" t="s">
        <v>56</v>
      </c>
      <c r="I1050" t="s">
        <v>33</v>
      </c>
      <c r="J1050" s="2">
        <v>45303</v>
      </c>
      <c r="K1050" s="2">
        <v>45308</v>
      </c>
      <c r="L1050" s="2">
        <v>45315</v>
      </c>
      <c r="M1050" s="2">
        <v>45317</v>
      </c>
      <c r="N1050" s="2">
        <v>45326</v>
      </c>
      <c r="O1050">
        <v>1</v>
      </c>
      <c r="P1050">
        <v>1</v>
      </c>
      <c r="Q1050">
        <v>1</v>
      </c>
      <c r="R1050">
        <v>0</v>
      </c>
      <c r="S1050">
        <v>0</v>
      </c>
      <c r="T1050" t="s">
        <v>49</v>
      </c>
      <c r="U1050">
        <v>86</v>
      </c>
      <c r="W1050">
        <v>4</v>
      </c>
      <c r="X1050">
        <v>868048</v>
      </c>
      <c r="Y1050" t="s">
        <v>80</v>
      </c>
    </row>
    <row r="1051" spans="1:25">
      <c r="A1051" s="1" t="s">
        <v>1120</v>
      </c>
      <c r="B1051" t="s">
        <v>36</v>
      </c>
      <c r="C1051" t="s">
        <v>27</v>
      </c>
      <c r="D1051" t="s">
        <v>44</v>
      </c>
      <c r="E1051" t="s">
        <v>66</v>
      </c>
      <c r="F1051" t="s">
        <v>76</v>
      </c>
      <c r="G1051" t="s">
        <v>55</v>
      </c>
      <c r="H1051" t="s">
        <v>32</v>
      </c>
      <c r="I1051" t="s">
        <v>33</v>
      </c>
      <c r="J1051" s="2">
        <v>45330</v>
      </c>
      <c r="K1051" s="2">
        <v>45334</v>
      </c>
      <c r="L1051" s="2">
        <v>45343</v>
      </c>
      <c r="M1051" s="2">
        <v>45347</v>
      </c>
      <c r="N1051" s="2">
        <v>45350</v>
      </c>
      <c r="O1051">
        <v>1</v>
      </c>
      <c r="P1051">
        <v>1</v>
      </c>
      <c r="Q1051">
        <v>1</v>
      </c>
      <c r="R1051">
        <v>1</v>
      </c>
      <c r="S1051">
        <v>0</v>
      </c>
      <c r="T1051" t="s">
        <v>61</v>
      </c>
      <c r="U1051">
        <v>99</v>
      </c>
      <c r="V1051">
        <v>20</v>
      </c>
      <c r="W1051">
        <v>2</v>
      </c>
      <c r="X1051">
        <v>612895</v>
      </c>
    </row>
    <row r="1052" spans="1:25">
      <c r="A1052" s="1" t="s">
        <v>1121</v>
      </c>
      <c r="B1052" t="s">
        <v>58</v>
      </c>
      <c r="C1052" t="s">
        <v>27</v>
      </c>
      <c r="D1052" t="s">
        <v>59</v>
      </c>
      <c r="E1052" t="s">
        <v>29</v>
      </c>
      <c r="F1052" t="s">
        <v>48</v>
      </c>
      <c r="G1052" t="s">
        <v>39</v>
      </c>
      <c r="H1052" t="s">
        <v>56</v>
      </c>
      <c r="I1052" t="s">
        <v>33</v>
      </c>
      <c r="J1052" s="2">
        <v>45054</v>
      </c>
      <c r="K1052" s="2">
        <v>45058</v>
      </c>
      <c r="L1052" s="2">
        <v>45066</v>
      </c>
      <c r="M1052" s="2">
        <v>45068</v>
      </c>
      <c r="N1052" s="2">
        <v>45076</v>
      </c>
      <c r="O1052">
        <v>1</v>
      </c>
      <c r="P1052">
        <v>1</v>
      </c>
      <c r="Q1052">
        <v>0</v>
      </c>
      <c r="R1052">
        <v>0</v>
      </c>
      <c r="S1052">
        <v>0</v>
      </c>
      <c r="T1052" t="s">
        <v>34</v>
      </c>
      <c r="U1052">
        <v>96</v>
      </c>
      <c r="W1052">
        <v>1</v>
      </c>
    </row>
    <row r="1053" spans="1:25">
      <c r="A1053" s="1" t="s">
        <v>1122</v>
      </c>
      <c r="B1053" t="s">
        <v>36</v>
      </c>
      <c r="C1053" t="s">
        <v>78</v>
      </c>
      <c r="D1053" t="s">
        <v>59</v>
      </c>
      <c r="E1053" t="s">
        <v>54</v>
      </c>
      <c r="F1053" t="s">
        <v>38</v>
      </c>
      <c r="G1053" t="s">
        <v>60</v>
      </c>
      <c r="H1053" t="s">
        <v>56</v>
      </c>
      <c r="I1053" t="s">
        <v>41</v>
      </c>
      <c r="J1053" s="2">
        <v>45299</v>
      </c>
      <c r="K1053" s="2">
        <v>45303</v>
      </c>
      <c r="L1053" s="2">
        <v>45311</v>
      </c>
      <c r="M1053" s="2">
        <v>45314</v>
      </c>
      <c r="N1053" s="2">
        <v>45326</v>
      </c>
      <c r="O1053">
        <v>0</v>
      </c>
      <c r="P1053">
        <v>0</v>
      </c>
      <c r="Q1053">
        <v>0</v>
      </c>
      <c r="R1053">
        <v>0</v>
      </c>
      <c r="S1053">
        <v>1</v>
      </c>
      <c r="T1053" t="s">
        <v>74</v>
      </c>
      <c r="U1053">
        <v>81</v>
      </c>
      <c r="W1053">
        <v>9</v>
      </c>
    </row>
    <row r="1054" spans="1:25">
      <c r="A1054" s="1" t="s">
        <v>1123</v>
      </c>
      <c r="B1054" t="s">
        <v>36</v>
      </c>
      <c r="C1054" t="s">
        <v>47</v>
      </c>
      <c r="D1054" t="s">
        <v>44</v>
      </c>
      <c r="E1054" t="s">
        <v>102</v>
      </c>
      <c r="F1054" t="s">
        <v>76</v>
      </c>
      <c r="G1054" t="s">
        <v>31</v>
      </c>
      <c r="H1054" t="s">
        <v>56</v>
      </c>
      <c r="I1054" t="s">
        <v>33</v>
      </c>
      <c r="J1054" s="2">
        <v>45469</v>
      </c>
      <c r="K1054" s="2">
        <v>45474</v>
      </c>
      <c r="L1054" s="2">
        <v>45477</v>
      </c>
      <c r="M1054" s="2">
        <v>45479</v>
      </c>
      <c r="N1054" s="2">
        <v>45486</v>
      </c>
      <c r="O1054">
        <v>1</v>
      </c>
      <c r="P1054">
        <v>0</v>
      </c>
      <c r="Q1054">
        <v>0</v>
      </c>
      <c r="R1054">
        <v>0</v>
      </c>
      <c r="S1054">
        <v>0</v>
      </c>
      <c r="T1054" t="s">
        <v>34</v>
      </c>
      <c r="U1054">
        <v>68</v>
      </c>
      <c r="W1054">
        <v>14</v>
      </c>
    </row>
    <row r="1055" spans="1:25">
      <c r="A1055" s="1" t="s">
        <v>1124</v>
      </c>
      <c r="B1055" t="s">
        <v>36</v>
      </c>
      <c r="C1055" t="s">
        <v>27</v>
      </c>
      <c r="D1055" t="s">
        <v>28</v>
      </c>
      <c r="E1055" t="s">
        <v>102</v>
      </c>
      <c r="F1055" t="s">
        <v>76</v>
      </c>
      <c r="G1055" t="s">
        <v>31</v>
      </c>
      <c r="H1055" t="s">
        <v>56</v>
      </c>
      <c r="I1055" t="s">
        <v>41</v>
      </c>
      <c r="J1055" s="2">
        <v>45029</v>
      </c>
      <c r="K1055" s="2">
        <v>45034</v>
      </c>
      <c r="L1055" s="2">
        <v>45041</v>
      </c>
      <c r="M1055" s="2">
        <v>45043</v>
      </c>
      <c r="N1055" s="2">
        <v>45048</v>
      </c>
      <c r="O1055">
        <v>1</v>
      </c>
      <c r="P1055">
        <v>0</v>
      </c>
      <c r="Q1055">
        <v>0</v>
      </c>
      <c r="R1055">
        <v>0</v>
      </c>
      <c r="S1055">
        <v>0</v>
      </c>
      <c r="T1055" t="s">
        <v>34</v>
      </c>
      <c r="U1055">
        <v>90</v>
      </c>
      <c r="W1055">
        <v>0</v>
      </c>
    </row>
    <row r="1056" spans="1:25">
      <c r="A1056" s="1" t="s">
        <v>1125</v>
      </c>
      <c r="B1056" t="s">
        <v>70</v>
      </c>
      <c r="C1056" t="s">
        <v>78</v>
      </c>
      <c r="D1056" t="s">
        <v>73</v>
      </c>
      <c r="E1056" t="s">
        <v>102</v>
      </c>
      <c r="F1056" t="s">
        <v>48</v>
      </c>
      <c r="G1056" t="s">
        <v>45</v>
      </c>
      <c r="H1056" t="s">
        <v>32</v>
      </c>
      <c r="I1056" t="s">
        <v>41</v>
      </c>
      <c r="J1056" s="2">
        <v>45221</v>
      </c>
      <c r="K1056" s="2">
        <v>45225</v>
      </c>
      <c r="L1056" s="2">
        <v>45234</v>
      </c>
      <c r="M1056" s="2">
        <v>45240</v>
      </c>
      <c r="N1056" s="2">
        <v>45241</v>
      </c>
      <c r="O1056">
        <v>1</v>
      </c>
      <c r="P1056">
        <v>1</v>
      </c>
      <c r="Q1056">
        <v>1</v>
      </c>
      <c r="R1056">
        <v>1</v>
      </c>
      <c r="S1056">
        <v>0</v>
      </c>
      <c r="T1056" t="s">
        <v>61</v>
      </c>
      <c r="U1056">
        <v>61</v>
      </c>
      <c r="V1056">
        <v>20</v>
      </c>
      <c r="W1056">
        <v>6</v>
      </c>
      <c r="X1056">
        <v>1691861</v>
      </c>
    </row>
    <row r="1057" spans="1:25">
      <c r="A1057" s="1" t="s">
        <v>1126</v>
      </c>
      <c r="B1057" t="s">
        <v>26</v>
      </c>
      <c r="C1057" t="s">
        <v>47</v>
      </c>
      <c r="D1057" t="s">
        <v>73</v>
      </c>
      <c r="E1057" t="s">
        <v>54</v>
      </c>
      <c r="F1057" t="s">
        <v>30</v>
      </c>
      <c r="G1057" t="s">
        <v>31</v>
      </c>
      <c r="H1057" t="s">
        <v>32</v>
      </c>
      <c r="I1057" t="s">
        <v>33</v>
      </c>
      <c r="J1057" s="2">
        <v>45029</v>
      </c>
      <c r="K1057" s="2">
        <v>45033</v>
      </c>
      <c r="L1057" s="2">
        <v>45043</v>
      </c>
      <c r="M1057" s="2">
        <v>45046</v>
      </c>
      <c r="N1057" s="2">
        <v>45043</v>
      </c>
      <c r="O1057">
        <v>1</v>
      </c>
      <c r="P1057">
        <v>1</v>
      </c>
      <c r="Q1057">
        <v>1</v>
      </c>
      <c r="R1057">
        <v>0</v>
      </c>
      <c r="S1057">
        <v>0</v>
      </c>
      <c r="T1057" t="s">
        <v>49</v>
      </c>
      <c r="U1057">
        <v>88</v>
      </c>
      <c r="W1057">
        <v>10</v>
      </c>
      <c r="X1057">
        <v>1949703</v>
      </c>
      <c r="Y1057" t="s">
        <v>87</v>
      </c>
    </row>
    <row r="1058" spans="1:25">
      <c r="A1058" s="1" t="s">
        <v>1127</v>
      </c>
      <c r="B1058" t="s">
        <v>36</v>
      </c>
      <c r="C1058" t="s">
        <v>47</v>
      </c>
      <c r="D1058" t="s">
        <v>44</v>
      </c>
      <c r="E1058" t="s">
        <v>63</v>
      </c>
      <c r="F1058" t="s">
        <v>64</v>
      </c>
      <c r="G1058" t="s">
        <v>31</v>
      </c>
      <c r="H1058" t="s">
        <v>56</v>
      </c>
      <c r="I1058" t="s">
        <v>41</v>
      </c>
      <c r="J1058" s="2">
        <v>44929</v>
      </c>
      <c r="K1058" s="2">
        <v>44931</v>
      </c>
      <c r="L1058" s="2">
        <v>44939</v>
      </c>
      <c r="M1058" s="2">
        <v>44941</v>
      </c>
      <c r="N1058" s="2">
        <v>44945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74</v>
      </c>
      <c r="U1058">
        <v>61</v>
      </c>
      <c r="W1058">
        <v>8</v>
      </c>
    </row>
    <row r="1059" spans="1:25">
      <c r="A1059" s="1" t="s">
        <v>1128</v>
      </c>
      <c r="B1059" t="s">
        <v>26</v>
      </c>
      <c r="C1059" t="s">
        <v>37</v>
      </c>
      <c r="D1059" t="s">
        <v>28</v>
      </c>
      <c r="E1059" t="s">
        <v>66</v>
      </c>
      <c r="F1059" t="s">
        <v>67</v>
      </c>
      <c r="G1059" t="s">
        <v>45</v>
      </c>
      <c r="H1059" t="s">
        <v>32</v>
      </c>
      <c r="I1059" t="s">
        <v>41</v>
      </c>
      <c r="J1059" s="2">
        <v>45080</v>
      </c>
      <c r="K1059" s="2">
        <v>45085</v>
      </c>
      <c r="L1059" s="2">
        <v>45090</v>
      </c>
      <c r="M1059" s="2">
        <v>45092</v>
      </c>
      <c r="N1059" s="2">
        <v>45103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74</v>
      </c>
      <c r="U1059">
        <v>83</v>
      </c>
      <c r="W1059">
        <v>4</v>
      </c>
    </row>
    <row r="1060" spans="1:25">
      <c r="A1060" s="1" t="s">
        <v>1129</v>
      </c>
      <c r="B1060" t="s">
        <v>26</v>
      </c>
      <c r="C1060" t="s">
        <v>78</v>
      </c>
      <c r="D1060" t="s">
        <v>73</v>
      </c>
      <c r="E1060" t="s">
        <v>54</v>
      </c>
      <c r="F1060" t="s">
        <v>48</v>
      </c>
      <c r="G1060" t="s">
        <v>60</v>
      </c>
      <c r="H1060" t="s">
        <v>32</v>
      </c>
      <c r="I1060" t="s">
        <v>41</v>
      </c>
      <c r="J1060" s="2">
        <v>45217</v>
      </c>
      <c r="K1060" s="2">
        <v>45219</v>
      </c>
      <c r="L1060" s="2">
        <v>45224</v>
      </c>
      <c r="M1060" s="2">
        <v>45230</v>
      </c>
      <c r="N1060" s="2">
        <v>45231</v>
      </c>
      <c r="O1060">
        <v>1</v>
      </c>
      <c r="P1060">
        <v>0</v>
      </c>
      <c r="Q1060">
        <v>0</v>
      </c>
      <c r="R1060">
        <v>0</v>
      </c>
      <c r="S1060">
        <v>0</v>
      </c>
      <c r="T1060" t="s">
        <v>34</v>
      </c>
      <c r="U1060">
        <v>55</v>
      </c>
      <c r="W1060">
        <v>6</v>
      </c>
    </row>
    <row r="1061" spans="1:25">
      <c r="A1061" s="1" t="s">
        <v>1130</v>
      </c>
      <c r="B1061" t="s">
        <v>43</v>
      </c>
      <c r="C1061" t="s">
        <v>37</v>
      </c>
      <c r="D1061" t="s">
        <v>28</v>
      </c>
      <c r="E1061" t="s">
        <v>29</v>
      </c>
      <c r="F1061" t="s">
        <v>30</v>
      </c>
      <c r="G1061" t="s">
        <v>60</v>
      </c>
      <c r="H1061" t="s">
        <v>56</v>
      </c>
      <c r="I1061" t="s">
        <v>41</v>
      </c>
      <c r="J1061" s="2">
        <v>45345</v>
      </c>
      <c r="K1061" s="2">
        <v>45349</v>
      </c>
      <c r="L1061" s="2">
        <v>45355</v>
      </c>
      <c r="M1061" s="2">
        <v>45357</v>
      </c>
      <c r="N1061" s="2">
        <v>45364</v>
      </c>
      <c r="O1061">
        <v>1</v>
      </c>
      <c r="P1061">
        <v>1</v>
      </c>
      <c r="Q1061">
        <v>1</v>
      </c>
      <c r="R1061">
        <v>0</v>
      </c>
      <c r="S1061">
        <v>0</v>
      </c>
      <c r="T1061" t="s">
        <v>49</v>
      </c>
      <c r="U1061">
        <v>59</v>
      </c>
      <c r="W1061">
        <v>1</v>
      </c>
      <c r="X1061">
        <v>816991</v>
      </c>
      <c r="Y1061" t="s">
        <v>68</v>
      </c>
    </row>
    <row r="1062" spans="1:25">
      <c r="A1062" s="1" t="s">
        <v>1131</v>
      </c>
      <c r="B1062" t="s">
        <v>90</v>
      </c>
      <c r="C1062" t="s">
        <v>71</v>
      </c>
      <c r="D1062" t="s">
        <v>59</v>
      </c>
      <c r="E1062" t="s">
        <v>54</v>
      </c>
      <c r="F1062" t="s">
        <v>30</v>
      </c>
      <c r="G1062" t="s">
        <v>31</v>
      </c>
      <c r="H1062" t="s">
        <v>56</v>
      </c>
      <c r="I1062" t="s">
        <v>41</v>
      </c>
      <c r="J1062" s="2">
        <v>45179</v>
      </c>
      <c r="K1062" s="2">
        <v>45180</v>
      </c>
      <c r="L1062" s="2">
        <v>45188</v>
      </c>
      <c r="M1062" s="2">
        <v>45191</v>
      </c>
      <c r="N1062" s="2">
        <v>45200</v>
      </c>
      <c r="O1062">
        <v>1</v>
      </c>
      <c r="P1062">
        <v>1</v>
      </c>
      <c r="Q1062">
        <v>0</v>
      </c>
      <c r="R1062">
        <v>0</v>
      </c>
      <c r="S1062">
        <v>0</v>
      </c>
      <c r="T1062" t="s">
        <v>34</v>
      </c>
      <c r="U1062">
        <v>48</v>
      </c>
      <c r="W1062">
        <v>4</v>
      </c>
    </row>
    <row r="1063" spans="1:25">
      <c r="A1063" s="1" t="s">
        <v>1132</v>
      </c>
      <c r="B1063" t="s">
        <v>70</v>
      </c>
      <c r="C1063" t="s">
        <v>78</v>
      </c>
      <c r="D1063" t="s">
        <v>44</v>
      </c>
      <c r="E1063" t="s">
        <v>29</v>
      </c>
      <c r="F1063" t="s">
        <v>64</v>
      </c>
      <c r="G1063" t="s">
        <v>31</v>
      </c>
      <c r="H1063" t="s">
        <v>32</v>
      </c>
      <c r="I1063" t="s">
        <v>41</v>
      </c>
      <c r="J1063" s="2">
        <v>45320</v>
      </c>
      <c r="K1063" s="2">
        <v>45321</v>
      </c>
      <c r="L1063" s="2">
        <v>45325</v>
      </c>
      <c r="M1063" s="2">
        <v>45330</v>
      </c>
      <c r="N1063" s="2">
        <v>45343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74</v>
      </c>
      <c r="U1063">
        <v>56</v>
      </c>
      <c r="W1063">
        <v>6</v>
      </c>
    </row>
    <row r="1064" spans="1:25">
      <c r="A1064" s="1" t="s">
        <v>1133</v>
      </c>
      <c r="B1064" t="s">
        <v>70</v>
      </c>
      <c r="C1064" t="s">
        <v>37</v>
      </c>
      <c r="D1064" t="s">
        <v>59</v>
      </c>
      <c r="E1064" t="s">
        <v>66</v>
      </c>
      <c r="F1064" t="s">
        <v>30</v>
      </c>
      <c r="G1064" t="s">
        <v>31</v>
      </c>
      <c r="H1064" t="s">
        <v>56</v>
      </c>
      <c r="I1064" t="s">
        <v>41</v>
      </c>
      <c r="J1064" s="2">
        <v>45055</v>
      </c>
      <c r="K1064" s="2">
        <v>45057</v>
      </c>
      <c r="L1064" s="2">
        <v>45065</v>
      </c>
      <c r="M1064" s="2">
        <v>45071</v>
      </c>
      <c r="N1064" s="2">
        <v>45078</v>
      </c>
      <c r="O1064">
        <v>1</v>
      </c>
      <c r="P1064">
        <v>0</v>
      </c>
      <c r="Q1064">
        <v>0</v>
      </c>
      <c r="R1064">
        <v>0</v>
      </c>
      <c r="S1064">
        <v>0</v>
      </c>
      <c r="T1064" t="s">
        <v>34</v>
      </c>
      <c r="U1064">
        <v>78</v>
      </c>
      <c r="W1064">
        <v>4</v>
      </c>
    </row>
    <row r="1065" spans="1:25">
      <c r="A1065" s="1" t="s">
        <v>1134</v>
      </c>
      <c r="B1065" t="s">
        <v>36</v>
      </c>
      <c r="C1065" t="s">
        <v>71</v>
      </c>
      <c r="D1065" t="s">
        <v>44</v>
      </c>
      <c r="E1065" t="s">
        <v>29</v>
      </c>
      <c r="F1065" t="s">
        <v>30</v>
      </c>
      <c r="G1065" t="s">
        <v>31</v>
      </c>
      <c r="H1065" t="s">
        <v>56</v>
      </c>
      <c r="I1065" t="s">
        <v>33</v>
      </c>
      <c r="J1065" s="2">
        <v>44993</v>
      </c>
      <c r="K1065" s="2">
        <v>44997</v>
      </c>
      <c r="L1065" s="2">
        <v>45004</v>
      </c>
      <c r="M1065" s="2">
        <v>45010</v>
      </c>
      <c r="N1065" s="2">
        <v>45014</v>
      </c>
      <c r="O1065">
        <v>1</v>
      </c>
      <c r="P1065">
        <v>1</v>
      </c>
      <c r="Q1065">
        <v>1</v>
      </c>
      <c r="R1065">
        <v>1</v>
      </c>
      <c r="S1065">
        <v>0</v>
      </c>
      <c r="T1065" t="s">
        <v>61</v>
      </c>
      <c r="U1065">
        <v>76</v>
      </c>
      <c r="V1065">
        <v>21</v>
      </c>
      <c r="W1065">
        <v>4</v>
      </c>
      <c r="X1065">
        <v>1315848</v>
      </c>
    </row>
    <row r="1066" spans="1:25">
      <c r="A1066" s="1" t="s">
        <v>1135</v>
      </c>
      <c r="B1066" t="s">
        <v>90</v>
      </c>
      <c r="C1066" t="s">
        <v>71</v>
      </c>
      <c r="D1066" t="s">
        <v>52</v>
      </c>
      <c r="E1066" t="s">
        <v>29</v>
      </c>
      <c r="F1066" t="s">
        <v>76</v>
      </c>
      <c r="G1066" t="s">
        <v>55</v>
      </c>
      <c r="H1066" t="s">
        <v>40</v>
      </c>
      <c r="I1066" t="s">
        <v>41</v>
      </c>
      <c r="J1066" s="2">
        <v>45270</v>
      </c>
      <c r="K1066" s="2">
        <v>45274</v>
      </c>
      <c r="L1066" s="2">
        <v>45278</v>
      </c>
      <c r="M1066" s="2">
        <v>45281</v>
      </c>
      <c r="N1066" s="2">
        <v>45295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74</v>
      </c>
      <c r="U1066">
        <v>61</v>
      </c>
      <c r="W1066">
        <v>4</v>
      </c>
    </row>
    <row r="1067" spans="1:25">
      <c r="A1067" s="1" t="s">
        <v>1136</v>
      </c>
      <c r="B1067" t="s">
        <v>26</v>
      </c>
      <c r="C1067" t="s">
        <v>47</v>
      </c>
      <c r="D1067" t="s">
        <v>44</v>
      </c>
      <c r="E1067" t="s">
        <v>102</v>
      </c>
      <c r="F1067" t="s">
        <v>64</v>
      </c>
      <c r="G1067" t="s">
        <v>45</v>
      </c>
      <c r="H1067" t="s">
        <v>40</v>
      </c>
      <c r="I1067" t="s">
        <v>33</v>
      </c>
      <c r="J1067" s="2">
        <v>45120</v>
      </c>
      <c r="K1067" s="2">
        <v>45125</v>
      </c>
      <c r="L1067" s="2">
        <v>45129</v>
      </c>
      <c r="M1067" s="2">
        <v>45136</v>
      </c>
      <c r="N1067" s="2">
        <v>45140</v>
      </c>
      <c r="O1067">
        <v>1</v>
      </c>
      <c r="P1067">
        <v>1</v>
      </c>
      <c r="Q1067">
        <v>1</v>
      </c>
      <c r="R1067">
        <v>1</v>
      </c>
      <c r="S1067">
        <v>0</v>
      </c>
      <c r="T1067" t="s">
        <v>61</v>
      </c>
      <c r="U1067">
        <v>83</v>
      </c>
      <c r="V1067">
        <v>20</v>
      </c>
      <c r="W1067">
        <v>15</v>
      </c>
      <c r="X1067">
        <v>1953746</v>
      </c>
    </row>
    <row r="1068" spans="1:25">
      <c r="A1068" s="1" t="s">
        <v>1137</v>
      </c>
      <c r="B1068" t="s">
        <v>36</v>
      </c>
      <c r="C1068" t="s">
        <v>37</v>
      </c>
      <c r="D1068" t="s">
        <v>73</v>
      </c>
      <c r="E1068" t="s">
        <v>63</v>
      </c>
      <c r="F1068" t="s">
        <v>76</v>
      </c>
      <c r="G1068" t="s">
        <v>55</v>
      </c>
      <c r="H1068" t="s">
        <v>56</v>
      </c>
      <c r="I1068" t="s">
        <v>33</v>
      </c>
      <c r="J1068" s="2">
        <v>45043</v>
      </c>
      <c r="K1068" s="2">
        <v>45046</v>
      </c>
      <c r="L1068" s="2">
        <v>45055</v>
      </c>
      <c r="M1068" s="2">
        <v>45059</v>
      </c>
      <c r="N1068" s="2">
        <v>45061</v>
      </c>
      <c r="O1068">
        <v>1</v>
      </c>
      <c r="P1068">
        <v>1</v>
      </c>
      <c r="Q1068">
        <v>1</v>
      </c>
      <c r="R1068">
        <v>1</v>
      </c>
      <c r="S1068">
        <v>0</v>
      </c>
      <c r="T1068" t="s">
        <v>61</v>
      </c>
      <c r="U1068">
        <v>72</v>
      </c>
      <c r="V1068">
        <v>18</v>
      </c>
      <c r="W1068">
        <v>4</v>
      </c>
      <c r="X1068">
        <v>566834</v>
      </c>
    </row>
    <row r="1069" spans="1:25">
      <c r="A1069" s="1" t="s">
        <v>1138</v>
      </c>
      <c r="B1069" t="s">
        <v>36</v>
      </c>
      <c r="C1069" t="s">
        <v>47</v>
      </c>
      <c r="D1069" t="s">
        <v>52</v>
      </c>
      <c r="E1069" t="s">
        <v>63</v>
      </c>
      <c r="F1069" t="s">
        <v>48</v>
      </c>
      <c r="G1069" t="s">
        <v>31</v>
      </c>
      <c r="H1069" t="s">
        <v>40</v>
      </c>
      <c r="I1069" t="s">
        <v>41</v>
      </c>
      <c r="J1069" s="2">
        <v>44982</v>
      </c>
      <c r="K1069" s="2">
        <v>44986</v>
      </c>
      <c r="L1069" s="2">
        <v>44989</v>
      </c>
      <c r="M1069" s="2">
        <v>44996</v>
      </c>
      <c r="N1069" s="2">
        <v>45009</v>
      </c>
      <c r="O1069">
        <v>1</v>
      </c>
      <c r="P1069">
        <v>1</v>
      </c>
      <c r="Q1069">
        <v>1</v>
      </c>
      <c r="R1069">
        <v>1</v>
      </c>
      <c r="S1069">
        <v>0</v>
      </c>
      <c r="T1069" t="s">
        <v>61</v>
      </c>
      <c r="U1069">
        <v>96</v>
      </c>
      <c r="V1069">
        <v>27</v>
      </c>
      <c r="W1069">
        <v>14</v>
      </c>
      <c r="X1069">
        <v>2699992</v>
      </c>
    </row>
    <row r="1070" spans="1:25">
      <c r="A1070" s="1" t="s">
        <v>1139</v>
      </c>
      <c r="B1070" t="s">
        <v>26</v>
      </c>
      <c r="C1070" t="s">
        <v>27</v>
      </c>
      <c r="D1070" t="s">
        <v>59</v>
      </c>
      <c r="E1070" t="s">
        <v>54</v>
      </c>
      <c r="F1070" t="s">
        <v>30</v>
      </c>
      <c r="G1070" t="s">
        <v>45</v>
      </c>
      <c r="H1070" t="s">
        <v>56</v>
      </c>
      <c r="I1070" t="s">
        <v>41</v>
      </c>
      <c r="J1070" s="2">
        <v>45246</v>
      </c>
      <c r="K1070" s="2">
        <v>45251</v>
      </c>
      <c r="L1070" s="2">
        <v>45254</v>
      </c>
      <c r="M1070" s="2">
        <v>45258</v>
      </c>
      <c r="N1070" s="2">
        <v>45269</v>
      </c>
      <c r="O1070">
        <v>1</v>
      </c>
      <c r="P1070">
        <v>1</v>
      </c>
      <c r="Q1070">
        <v>1</v>
      </c>
      <c r="R1070">
        <v>0</v>
      </c>
      <c r="S1070">
        <v>0</v>
      </c>
      <c r="T1070" t="s">
        <v>49</v>
      </c>
      <c r="U1070">
        <v>82</v>
      </c>
      <c r="W1070">
        <v>0</v>
      </c>
      <c r="X1070">
        <v>605372</v>
      </c>
      <c r="Y1070" t="s">
        <v>80</v>
      </c>
    </row>
    <row r="1071" spans="1:25">
      <c r="A1071" s="1" t="s">
        <v>1140</v>
      </c>
      <c r="B1071" t="s">
        <v>70</v>
      </c>
      <c r="C1071" t="s">
        <v>78</v>
      </c>
      <c r="D1071" t="s">
        <v>59</v>
      </c>
      <c r="E1071" t="s">
        <v>66</v>
      </c>
      <c r="F1071" t="s">
        <v>76</v>
      </c>
      <c r="G1071" t="s">
        <v>39</v>
      </c>
      <c r="H1071" t="s">
        <v>56</v>
      </c>
      <c r="I1071" t="s">
        <v>33</v>
      </c>
      <c r="J1071" s="2">
        <v>45316</v>
      </c>
      <c r="K1071" s="2">
        <v>45320</v>
      </c>
      <c r="L1071" s="2">
        <v>45323</v>
      </c>
      <c r="M1071" s="2">
        <v>45328</v>
      </c>
      <c r="N1071" s="2">
        <v>45355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74</v>
      </c>
      <c r="U1071">
        <v>55</v>
      </c>
      <c r="W1071">
        <v>7</v>
      </c>
    </row>
    <row r="1072" spans="1:25">
      <c r="A1072" s="1" t="s">
        <v>1141</v>
      </c>
      <c r="B1072" t="s">
        <v>70</v>
      </c>
      <c r="C1072" t="s">
        <v>27</v>
      </c>
      <c r="D1072" t="s">
        <v>59</v>
      </c>
      <c r="E1072" t="s">
        <v>63</v>
      </c>
      <c r="F1072" t="s">
        <v>38</v>
      </c>
      <c r="G1072" t="s">
        <v>45</v>
      </c>
      <c r="H1072" t="s">
        <v>32</v>
      </c>
      <c r="I1072" t="s">
        <v>41</v>
      </c>
      <c r="J1072" s="2">
        <v>45249</v>
      </c>
      <c r="K1072" s="2">
        <v>45250</v>
      </c>
      <c r="L1072" s="2">
        <v>45253</v>
      </c>
      <c r="M1072" s="2">
        <v>45258</v>
      </c>
      <c r="N1072" s="2">
        <v>45276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74</v>
      </c>
      <c r="U1072">
        <v>48</v>
      </c>
      <c r="W1072">
        <v>1</v>
      </c>
    </row>
    <row r="1073" spans="1:25">
      <c r="A1073" s="1" t="s">
        <v>1142</v>
      </c>
      <c r="B1073" t="s">
        <v>70</v>
      </c>
      <c r="C1073" t="s">
        <v>78</v>
      </c>
      <c r="D1073" t="s">
        <v>52</v>
      </c>
      <c r="E1073" t="s">
        <v>102</v>
      </c>
      <c r="F1073" t="s">
        <v>38</v>
      </c>
      <c r="G1073" t="s">
        <v>31</v>
      </c>
      <c r="H1073" t="s">
        <v>40</v>
      </c>
      <c r="I1073" t="s">
        <v>33</v>
      </c>
      <c r="J1073" s="2">
        <v>45296</v>
      </c>
      <c r="K1073" s="2">
        <v>45299</v>
      </c>
      <c r="L1073" s="2">
        <v>45305</v>
      </c>
      <c r="M1073" s="2">
        <v>45312</v>
      </c>
      <c r="N1073" s="2">
        <v>45333</v>
      </c>
      <c r="O1073">
        <v>1</v>
      </c>
      <c r="P1073">
        <v>0</v>
      </c>
      <c r="Q1073">
        <v>0</v>
      </c>
      <c r="R1073">
        <v>0</v>
      </c>
      <c r="S1073">
        <v>0</v>
      </c>
      <c r="T1073" t="s">
        <v>34</v>
      </c>
      <c r="U1073">
        <v>56</v>
      </c>
      <c r="W1073">
        <v>8</v>
      </c>
    </row>
    <row r="1074" spans="1:25">
      <c r="A1074" s="1" t="s">
        <v>1143</v>
      </c>
      <c r="B1074" t="s">
        <v>70</v>
      </c>
      <c r="C1074" t="s">
        <v>78</v>
      </c>
      <c r="D1074" t="s">
        <v>28</v>
      </c>
      <c r="E1074" t="s">
        <v>29</v>
      </c>
      <c r="F1074" t="s">
        <v>38</v>
      </c>
      <c r="G1074" t="s">
        <v>39</v>
      </c>
      <c r="H1074" t="s">
        <v>32</v>
      </c>
      <c r="I1074" t="s">
        <v>41</v>
      </c>
      <c r="J1074" s="2">
        <v>44978</v>
      </c>
      <c r="K1074" s="2">
        <v>44982</v>
      </c>
      <c r="L1074" s="2">
        <v>44986</v>
      </c>
      <c r="M1074" s="2">
        <v>44990</v>
      </c>
      <c r="N1074" s="2">
        <v>45001</v>
      </c>
      <c r="O1074">
        <v>1</v>
      </c>
      <c r="P1074">
        <v>1</v>
      </c>
      <c r="Q1074">
        <v>1</v>
      </c>
      <c r="R1074">
        <v>0</v>
      </c>
      <c r="S1074">
        <v>1</v>
      </c>
      <c r="T1074" t="s">
        <v>49</v>
      </c>
      <c r="U1074">
        <v>98</v>
      </c>
      <c r="W1074">
        <v>8</v>
      </c>
      <c r="X1074">
        <v>1642367</v>
      </c>
      <c r="Y1074" t="s">
        <v>80</v>
      </c>
    </row>
    <row r="1075" spans="1:25">
      <c r="A1075" s="1" t="s">
        <v>1144</v>
      </c>
      <c r="B1075" t="s">
        <v>70</v>
      </c>
      <c r="C1075" t="s">
        <v>71</v>
      </c>
      <c r="D1075" t="s">
        <v>59</v>
      </c>
      <c r="E1075" t="s">
        <v>54</v>
      </c>
      <c r="F1075" t="s">
        <v>38</v>
      </c>
      <c r="G1075" t="s">
        <v>39</v>
      </c>
      <c r="H1075" t="s">
        <v>56</v>
      </c>
      <c r="I1075" t="s">
        <v>33</v>
      </c>
      <c r="J1075" s="2">
        <v>44989</v>
      </c>
      <c r="K1075" s="2">
        <v>44993</v>
      </c>
      <c r="L1075" s="2">
        <v>44996</v>
      </c>
      <c r="M1075" s="2">
        <v>45001</v>
      </c>
      <c r="N1075" s="2">
        <v>45020</v>
      </c>
      <c r="O1075">
        <v>1</v>
      </c>
      <c r="P1075">
        <v>0</v>
      </c>
      <c r="Q1075">
        <v>0</v>
      </c>
      <c r="R1075">
        <v>0</v>
      </c>
      <c r="S1075">
        <v>0</v>
      </c>
      <c r="T1075" t="s">
        <v>34</v>
      </c>
      <c r="U1075">
        <v>70</v>
      </c>
      <c r="W1075">
        <v>7</v>
      </c>
    </row>
    <row r="1076" spans="1:25">
      <c r="A1076" s="1" t="s">
        <v>1145</v>
      </c>
      <c r="B1076" t="s">
        <v>26</v>
      </c>
      <c r="C1076" t="s">
        <v>27</v>
      </c>
      <c r="D1076" t="s">
        <v>73</v>
      </c>
      <c r="E1076" t="s">
        <v>29</v>
      </c>
      <c r="F1076" t="s">
        <v>76</v>
      </c>
      <c r="G1076" t="s">
        <v>45</v>
      </c>
      <c r="H1076" t="s">
        <v>40</v>
      </c>
      <c r="I1076" t="s">
        <v>41</v>
      </c>
      <c r="J1076" s="2">
        <v>45440</v>
      </c>
      <c r="K1076" s="2">
        <v>45444</v>
      </c>
      <c r="L1076" s="2">
        <v>45454</v>
      </c>
      <c r="M1076" s="2">
        <v>45461</v>
      </c>
      <c r="N1076" s="2">
        <v>45464</v>
      </c>
      <c r="O1076">
        <v>1</v>
      </c>
      <c r="P1076">
        <v>1</v>
      </c>
      <c r="Q1076">
        <v>1</v>
      </c>
      <c r="R1076">
        <v>1</v>
      </c>
      <c r="S1076">
        <v>0</v>
      </c>
      <c r="T1076" t="s">
        <v>61</v>
      </c>
      <c r="U1076">
        <v>56</v>
      </c>
      <c r="V1076">
        <v>24</v>
      </c>
      <c r="W1076">
        <v>2</v>
      </c>
      <c r="X1076">
        <v>636684</v>
      </c>
    </row>
    <row r="1077" spans="1:25">
      <c r="A1077" s="1" t="s">
        <v>1146</v>
      </c>
      <c r="B1077" t="s">
        <v>26</v>
      </c>
      <c r="C1077" t="s">
        <v>78</v>
      </c>
      <c r="D1077" t="s">
        <v>44</v>
      </c>
      <c r="E1077" t="s">
        <v>54</v>
      </c>
      <c r="F1077" t="s">
        <v>38</v>
      </c>
      <c r="G1077" t="s">
        <v>31</v>
      </c>
      <c r="H1077" t="s">
        <v>56</v>
      </c>
      <c r="I1077" t="s">
        <v>41</v>
      </c>
      <c r="J1077" s="2">
        <v>45014</v>
      </c>
      <c r="K1077" s="2">
        <v>45019</v>
      </c>
      <c r="L1077" s="2">
        <v>45024</v>
      </c>
      <c r="M1077" s="2">
        <v>45030</v>
      </c>
      <c r="N1077" s="2">
        <v>45030</v>
      </c>
      <c r="O1077">
        <v>1</v>
      </c>
      <c r="P1077">
        <v>0</v>
      </c>
      <c r="Q1077">
        <v>0</v>
      </c>
      <c r="R1077">
        <v>0</v>
      </c>
      <c r="S1077">
        <v>0</v>
      </c>
      <c r="T1077" t="s">
        <v>34</v>
      </c>
      <c r="U1077">
        <v>78</v>
      </c>
      <c r="W1077">
        <v>9</v>
      </c>
    </row>
    <row r="1078" spans="1:25">
      <c r="A1078" s="1" t="s">
        <v>1147</v>
      </c>
      <c r="B1078" t="s">
        <v>70</v>
      </c>
      <c r="C1078" t="s">
        <v>37</v>
      </c>
      <c r="D1078" t="s">
        <v>52</v>
      </c>
      <c r="E1078" t="s">
        <v>54</v>
      </c>
      <c r="F1078" t="s">
        <v>67</v>
      </c>
      <c r="G1078" t="s">
        <v>55</v>
      </c>
      <c r="H1078" t="s">
        <v>40</v>
      </c>
      <c r="I1078" t="s">
        <v>33</v>
      </c>
      <c r="J1078" s="2">
        <v>45147</v>
      </c>
      <c r="K1078" s="2">
        <v>45150</v>
      </c>
      <c r="L1078" s="2">
        <v>45157</v>
      </c>
      <c r="M1078" s="2">
        <v>45164</v>
      </c>
      <c r="N1078" s="2">
        <v>45182</v>
      </c>
      <c r="O1078">
        <v>1</v>
      </c>
      <c r="P1078">
        <v>0</v>
      </c>
      <c r="Q1078">
        <v>0</v>
      </c>
      <c r="R1078">
        <v>0</v>
      </c>
      <c r="S1078">
        <v>0</v>
      </c>
      <c r="T1078" t="s">
        <v>34</v>
      </c>
      <c r="U1078">
        <v>59</v>
      </c>
      <c r="W1078">
        <v>3</v>
      </c>
    </row>
    <row r="1079" spans="1:25">
      <c r="A1079" s="1" t="s">
        <v>1148</v>
      </c>
      <c r="B1079" t="s">
        <v>26</v>
      </c>
      <c r="C1079" t="s">
        <v>78</v>
      </c>
      <c r="D1079" t="s">
        <v>59</v>
      </c>
      <c r="E1079" t="s">
        <v>29</v>
      </c>
      <c r="F1079" t="s">
        <v>48</v>
      </c>
      <c r="G1079" t="s">
        <v>45</v>
      </c>
      <c r="H1079" t="s">
        <v>56</v>
      </c>
      <c r="I1079" t="s">
        <v>41</v>
      </c>
      <c r="J1079" s="2">
        <v>45096</v>
      </c>
      <c r="K1079" s="2">
        <v>45097</v>
      </c>
      <c r="L1079" s="2">
        <v>45103</v>
      </c>
      <c r="M1079" s="2">
        <v>45108</v>
      </c>
      <c r="N1079" s="2">
        <v>45111</v>
      </c>
      <c r="O1079">
        <v>1</v>
      </c>
      <c r="P1079">
        <v>0</v>
      </c>
      <c r="Q1079">
        <v>0</v>
      </c>
      <c r="R1079">
        <v>0</v>
      </c>
      <c r="S1079">
        <v>0</v>
      </c>
      <c r="T1079" t="s">
        <v>34</v>
      </c>
      <c r="U1079">
        <v>45</v>
      </c>
      <c r="W1079">
        <v>6</v>
      </c>
    </row>
    <row r="1080" spans="1:25">
      <c r="A1080" s="1" t="s">
        <v>1149</v>
      </c>
      <c r="B1080" t="s">
        <v>70</v>
      </c>
      <c r="C1080" t="s">
        <v>71</v>
      </c>
      <c r="D1080" t="s">
        <v>52</v>
      </c>
      <c r="E1080" t="s">
        <v>29</v>
      </c>
      <c r="F1080" t="s">
        <v>30</v>
      </c>
      <c r="G1080" t="s">
        <v>45</v>
      </c>
      <c r="H1080" t="s">
        <v>32</v>
      </c>
      <c r="I1080" t="s">
        <v>41</v>
      </c>
      <c r="J1080" s="2">
        <v>45258</v>
      </c>
      <c r="K1080" s="2">
        <v>45260</v>
      </c>
      <c r="L1080" s="2">
        <v>45270</v>
      </c>
      <c r="M1080" s="2">
        <v>45272</v>
      </c>
      <c r="N1080" s="2">
        <v>45287</v>
      </c>
      <c r="O1080">
        <v>1</v>
      </c>
      <c r="P1080">
        <v>0</v>
      </c>
      <c r="Q1080">
        <v>0</v>
      </c>
      <c r="R1080">
        <v>0</v>
      </c>
      <c r="S1080">
        <v>0</v>
      </c>
      <c r="T1080" t="s">
        <v>34</v>
      </c>
      <c r="U1080">
        <v>77</v>
      </c>
      <c r="W1080">
        <v>5</v>
      </c>
    </row>
    <row r="1081" spans="1:25">
      <c r="A1081" s="1" t="s">
        <v>1150</v>
      </c>
      <c r="B1081" t="s">
        <v>36</v>
      </c>
      <c r="C1081" t="s">
        <v>71</v>
      </c>
      <c r="D1081" t="s">
        <v>59</v>
      </c>
      <c r="E1081" t="s">
        <v>29</v>
      </c>
      <c r="F1081" t="s">
        <v>30</v>
      </c>
      <c r="G1081" t="s">
        <v>45</v>
      </c>
      <c r="H1081" t="s">
        <v>32</v>
      </c>
      <c r="I1081" t="s">
        <v>33</v>
      </c>
      <c r="J1081" s="2">
        <v>45374</v>
      </c>
      <c r="K1081" s="2">
        <v>45378</v>
      </c>
      <c r="L1081" s="2">
        <v>45388</v>
      </c>
      <c r="M1081" s="2">
        <v>45394</v>
      </c>
      <c r="N1081" s="2">
        <v>45391</v>
      </c>
      <c r="O1081">
        <v>0</v>
      </c>
      <c r="P1081">
        <v>0</v>
      </c>
      <c r="Q1081">
        <v>0</v>
      </c>
      <c r="R1081">
        <v>0</v>
      </c>
      <c r="S1081">
        <v>0</v>
      </c>
      <c r="T1081" t="s">
        <v>74</v>
      </c>
      <c r="U1081">
        <v>94</v>
      </c>
      <c r="W1081">
        <v>3</v>
      </c>
    </row>
    <row r="1082" spans="1:25">
      <c r="A1082" s="1" t="s">
        <v>1151</v>
      </c>
      <c r="B1082" t="s">
        <v>90</v>
      </c>
      <c r="C1082" t="s">
        <v>47</v>
      </c>
      <c r="D1082" t="s">
        <v>73</v>
      </c>
      <c r="E1082" t="s">
        <v>63</v>
      </c>
      <c r="F1082" t="s">
        <v>76</v>
      </c>
      <c r="G1082" t="s">
        <v>45</v>
      </c>
      <c r="H1082" t="s">
        <v>56</v>
      </c>
      <c r="I1082" t="s">
        <v>41</v>
      </c>
      <c r="J1082" s="2">
        <v>45391</v>
      </c>
      <c r="K1082" s="2">
        <v>45393</v>
      </c>
      <c r="L1082" s="2">
        <v>45396</v>
      </c>
      <c r="M1082" s="2">
        <v>45401</v>
      </c>
      <c r="N1082" s="2">
        <v>45420</v>
      </c>
      <c r="O1082">
        <v>1</v>
      </c>
      <c r="P1082">
        <v>1</v>
      </c>
      <c r="Q1082">
        <v>1</v>
      </c>
      <c r="R1082">
        <v>0</v>
      </c>
      <c r="S1082">
        <v>0</v>
      </c>
      <c r="T1082" t="s">
        <v>49</v>
      </c>
      <c r="U1082">
        <v>70</v>
      </c>
      <c r="W1082">
        <v>9</v>
      </c>
      <c r="X1082">
        <v>2474322</v>
      </c>
      <c r="Y1082" t="s">
        <v>68</v>
      </c>
    </row>
    <row r="1083" spans="1:25">
      <c r="A1083" s="1" t="s">
        <v>1152</v>
      </c>
      <c r="B1083" t="s">
        <v>43</v>
      </c>
      <c r="C1083" t="s">
        <v>78</v>
      </c>
      <c r="D1083" t="s">
        <v>52</v>
      </c>
      <c r="E1083" t="s">
        <v>29</v>
      </c>
      <c r="F1083" t="s">
        <v>38</v>
      </c>
      <c r="G1083" t="s">
        <v>39</v>
      </c>
      <c r="H1083" t="s">
        <v>56</v>
      </c>
      <c r="I1083" t="s">
        <v>33</v>
      </c>
      <c r="J1083" s="2">
        <v>45081</v>
      </c>
      <c r="K1083" s="2">
        <v>45086</v>
      </c>
      <c r="L1083" s="2">
        <v>45090</v>
      </c>
      <c r="M1083" s="2">
        <v>45093</v>
      </c>
      <c r="N1083" s="2">
        <v>45097</v>
      </c>
      <c r="O1083">
        <v>1</v>
      </c>
      <c r="P1083">
        <v>1</v>
      </c>
      <c r="Q1083">
        <v>1</v>
      </c>
      <c r="R1083">
        <v>1</v>
      </c>
      <c r="S1083">
        <v>0</v>
      </c>
      <c r="T1083" t="s">
        <v>61</v>
      </c>
      <c r="U1083">
        <v>50</v>
      </c>
      <c r="V1083">
        <v>16</v>
      </c>
      <c r="W1083">
        <v>8</v>
      </c>
      <c r="X1083">
        <v>1897410</v>
      </c>
    </row>
    <row r="1084" spans="1:25">
      <c r="A1084" s="1" t="s">
        <v>1153</v>
      </c>
      <c r="B1084" t="s">
        <v>70</v>
      </c>
      <c r="C1084" t="s">
        <v>71</v>
      </c>
      <c r="D1084" t="s">
        <v>52</v>
      </c>
      <c r="E1084" t="s">
        <v>66</v>
      </c>
      <c r="F1084" t="s">
        <v>67</v>
      </c>
      <c r="G1084" t="s">
        <v>45</v>
      </c>
      <c r="H1084" t="s">
        <v>40</v>
      </c>
      <c r="I1084" t="s">
        <v>33</v>
      </c>
      <c r="J1084" s="2">
        <v>45138</v>
      </c>
      <c r="K1084" s="2">
        <v>45139</v>
      </c>
      <c r="L1084" s="2">
        <v>45147</v>
      </c>
      <c r="M1084" s="2">
        <v>45149</v>
      </c>
      <c r="N1084" s="2">
        <v>45170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74</v>
      </c>
      <c r="U1084">
        <v>84</v>
      </c>
      <c r="W1084">
        <v>6</v>
      </c>
    </row>
    <row r="1085" spans="1:25">
      <c r="A1085" s="1" t="s">
        <v>1154</v>
      </c>
      <c r="B1085" t="s">
        <v>26</v>
      </c>
      <c r="C1085" t="s">
        <v>47</v>
      </c>
      <c r="D1085" t="s">
        <v>59</v>
      </c>
      <c r="E1085" t="s">
        <v>63</v>
      </c>
      <c r="F1085" t="s">
        <v>67</v>
      </c>
      <c r="G1085" t="s">
        <v>31</v>
      </c>
      <c r="H1085" t="s">
        <v>32</v>
      </c>
      <c r="I1085" t="s">
        <v>33</v>
      </c>
      <c r="J1085" s="2">
        <v>44949</v>
      </c>
      <c r="K1085" s="2">
        <v>44950</v>
      </c>
      <c r="L1085" s="2">
        <v>44955</v>
      </c>
      <c r="M1085" s="2">
        <v>44957</v>
      </c>
      <c r="N1085" s="2">
        <v>44971</v>
      </c>
      <c r="O1085">
        <v>1</v>
      </c>
      <c r="P1085">
        <v>0</v>
      </c>
      <c r="Q1085">
        <v>0</v>
      </c>
      <c r="R1085">
        <v>0</v>
      </c>
      <c r="S1085">
        <v>0</v>
      </c>
      <c r="T1085" t="s">
        <v>34</v>
      </c>
      <c r="U1085">
        <v>76</v>
      </c>
      <c r="W1085">
        <v>8</v>
      </c>
    </row>
    <row r="1086" spans="1:25">
      <c r="A1086" s="1" t="s">
        <v>1155</v>
      </c>
      <c r="B1086" t="s">
        <v>70</v>
      </c>
      <c r="C1086" t="s">
        <v>37</v>
      </c>
      <c r="D1086" t="s">
        <v>28</v>
      </c>
      <c r="E1086" t="s">
        <v>63</v>
      </c>
      <c r="F1086" t="s">
        <v>64</v>
      </c>
      <c r="G1086" t="s">
        <v>45</v>
      </c>
      <c r="H1086" t="s">
        <v>32</v>
      </c>
      <c r="I1086" t="s">
        <v>41</v>
      </c>
      <c r="J1086" s="2">
        <v>45145</v>
      </c>
      <c r="K1086" s="2">
        <v>45146</v>
      </c>
      <c r="L1086" s="2">
        <v>45150</v>
      </c>
      <c r="M1086" s="2">
        <v>45157</v>
      </c>
      <c r="N1086" s="2">
        <v>45178</v>
      </c>
      <c r="O1086">
        <v>1</v>
      </c>
      <c r="P1086">
        <v>1</v>
      </c>
      <c r="Q1086">
        <v>0</v>
      </c>
      <c r="R1086">
        <v>0</v>
      </c>
      <c r="S1086">
        <v>0</v>
      </c>
      <c r="T1086" t="s">
        <v>34</v>
      </c>
      <c r="U1086">
        <v>54</v>
      </c>
      <c r="W1086">
        <v>3</v>
      </c>
    </row>
    <row r="1087" spans="1:25">
      <c r="A1087" s="1" t="s">
        <v>1156</v>
      </c>
      <c r="B1087" t="s">
        <v>70</v>
      </c>
      <c r="C1087" t="s">
        <v>37</v>
      </c>
      <c r="D1087" t="s">
        <v>59</v>
      </c>
      <c r="E1087" t="s">
        <v>102</v>
      </c>
      <c r="F1087" t="s">
        <v>38</v>
      </c>
      <c r="G1087" t="s">
        <v>45</v>
      </c>
      <c r="H1087" t="s">
        <v>56</v>
      </c>
      <c r="I1087" t="s">
        <v>33</v>
      </c>
      <c r="J1087" s="2">
        <v>45405</v>
      </c>
      <c r="K1087" s="2">
        <v>45407</v>
      </c>
      <c r="L1087" s="2">
        <v>45410</v>
      </c>
      <c r="M1087" s="2">
        <v>45415</v>
      </c>
      <c r="N1087" s="2">
        <v>45427</v>
      </c>
      <c r="O1087">
        <v>1</v>
      </c>
      <c r="P1087">
        <v>1</v>
      </c>
      <c r="Q1087">
        <v>0</v>
      </c>
      <c r="R1087">
        <v>0</v>
      </c>
      <c r="S1087">
        <v>0</v>
      </c>
      <c r="T1087" t="s">
        <v>34</v>
      </c>
      <c r="U1087">
        <v>51</v>
      </c>
      <c r="W1087">
        <v>2</v>
      </c>
    </row>
    <row r="1088" spans="1:25">
      <c r="A1088" s="1" t="s">
        <v>1157</v>
      </c>
      <c r="B1088" t="s">
        <v>70</v>
      </c>
      <c r="C1088" t="s">
        <v>78</v>
      </c>
      <c r="D1088" t="s">
        <v>59</v>
      </c>
      <c r="E1088" t="s">
        <v>29</v>
      </c>
      <c r="F1088" t="s">
        <v>30</v>
      </c>
      <c r="G1088" t="s">
        <v>45</v>
      </c>
      <c r="H1088" t="s">
        <v>32</v>
      </c>
      <c r="I1088" t="s">
        <v>41</v>
      </c>
      <c r="J1088" s="2">
        <v>45446</v>
      </c>
      <c r="K1088" s="2">
        <v>45447</v>
      </c>
      <c r="L1088" s="2">
        <v>45452</v>
      </c>
      <c r="M1088" s="2">
        <v>45457</v>
      </c>
      <c r="N1088" s="2">
        <v>45477</v>
      </c>
      <c r="O1088">
        <v>1</v>
      </c>
      <c r="P1088">
        <v>1</v>
      </c>
      <c r="Q1088">
        <v>0</v>
      </c>
      <c r="R1088">
        <v>0</v>
      </c>
      <c r="S1088">
        <v>1</v>
      </c>
      <c r="T1088" t="s">
        <v>34</v>
      </c>
      <c r="U1088">
        <v>81</v>
      </c>
      <c r="W1088">
        <v>9</v>
      </c>
    </row>
    <row r="1089" spans="1:25">
      <c r="A1089" s="1" t="s">
        <v>1158</v>
      </c>
      <c r="B1089" t="s">
        <v>70</v>
      </c>
      <c r="C1089" t="s">
        <v>27</v>
      </c>
      <c r="D1089" t="s">
        <v>59</v>
      </c>
      <c r="E1089" t="s">
        <v>63</v>
      </c>
      <c r="F1089" t="s">
        <v>30</v>
      </c>
      <c r="G1089" t="s">
        <v>60</v>
      </c>
      <c r="H1089" t="s">
        <v>56</v>
      </c>
      <c r="I1089" t="s">
        <v>41</v>
      </c>
      <c r="J1089" s="2">
        <v>45223</v>
      </c>
      <c r="K1089" s="2">
        <v>45228</v>
      </c>
      <c r="L1089" s="2">
        <v>45232</v>
      </c>
      <c r="M1089" s="2">
        <v>45237</v>
      </c>
      <c r="N1089" s="2">
        <v>45256</v>
      </c>
      <c r="O1089">
        <v>1</v>
      </c>
      <c r="P1089">
        <v>1</v>
      </c>
      <c r="Q1089">
        <v>1</v>
      </c>
      <c r="R1089">
        <v>1</v>
      </c>
      <c r="S1089">
        <v>0</v>
      </c>
      <c r="T1089" t="s">
        <v>61</v>
      </c>
      <c r="U1089">
        <v>77</v>
      </c>
      <c r="V1089">
        <v>33</v>
      </c>
      <c r="W1089">
        <v>2</v>
      </c>
      <c r="X1089">
        <v>643559</v>
      </c>
    </row>
    <row r="1090" spans="1:25">
      <c r="A1090" s="1" t="s">
        <v>1159</v>
      </c>
      <c r="B1090" t="s">
        <v>43</v>
      </c>
      <c r="C1090" t="s">
        <v>27</v>
      </c>
      <c r="D1090" t="s">
        <v>52</v>
      </c>
      <c r="E1090" t="s">
        <v>102</v>
      </c>
      <c r="F1090" t="s">
        <v>38</v>
      </c>
      <c r="G1090" t="s">
        <v>45</v>
      </c>
      <c r="H1090" t="s">
        <v>32</v>
      </c>
      <c r="I1090" t="s">
        <v>33</v>
      </c>
      <c r="J1090" s="2">
        <v>45223</v>
      </c>
      <c r="K1090" s="2">
        <v>45227</v>
      </c>
      <c r="L1090" s="2">
        <v>45230</v>
      </c>
      <c r="M1090" s="2">
        <v>45232</v>
      </c>
      <c r="N1090" s="2">
        <v>45242</v>
      </c>
      <c r="O1090">
        <v>1</v>
      </c>
      <c r="P1090">
        <v>1</v>
      </c>
      <c r="Q1090">
        <v>1</v>
      </c>
      <c r="R1090">
        <v>1</v>
      </c>
      <c r="S1090">
        <v>0</v>
      </c>
      <c r="T1090" t="s">
        <v>61</v>
      </c>
      <c r="U1090">
        <v>85</v>
      </c>
      <c r="V1090">
        <v>19</v>
      </c>
      <c r="W1090">
        <v>0</v>
      </c>
      <c r="X1090">
        <v>613547</v>
      </c>
    </row>
    <row r="1091" spans="1:25">
      <c r="A1091" s="1" t="s">
        <v>1160</v>
      </c>
      <c r="B1091" t="s">
        <v>26</v>
      </c>
      <c r="C1091" t="s">
        <v>78</v>
      </c>
      <c r="D1091" t="s">
        <v>59</v>
      </c>
      <c r="E1091" t="s">
        <v>66</v>
      </c>
      <c r="F1091" t="s">
        <v>48</v>
      </c>
      <c r="G1091" t="s">
        <v>39</v>
      </c>
      <c r="H1091" t="s">
        <v>56</v>
      </c>
      <c r="I1091" t="s">
        <v>41</v>
      </c>
      <c r="J1091" s="2">
        <v>45438</v>
      </c>
      <c r="K1091" s="2">
        <v>45441</v>
      </c>
      <c r="L1091" s="2">
        <v>45450</v>
      </c>
      <c r="M1091" s="2">
        <v>45457</v>
      </c>
      <c r="N1091" s="2">
        <v>45453</v>
      </c>
      <c r="O1091">
        <v>1</v>
      </c>
      <c r="P1091">
        <v>0</v>
      </c>
      <c r="Q1091">
        <v>0</v>
      </c>
      <c r="R1091">
        <v>0</v>
      </c>
      <c r="S1091">
        <v>0</v>
      </c>
      <c r="T1091" t="s">
        <v>34</v>
      </c>
      <c r="U1091">
        <v>57</v>
      </c>
      <c r="W1091">
        <v>6</v>
      </c>
    </row>
    <row r="1092" spans="1:25">
      <c r="A1092" s="1" t="s">
        <v>1161</v>
      </c>
      <c r="B1092" t="s">
        <v>70</v>
      </c>
      <c r="C1092" t="s">
        <v>71</v>
      </c>
      <c r="D1092" t="s">
        <v>44</v>
      </c>
      <c r="E1092" t="s">
        <v>29</v>
      </c>
      <c r="F1092" t="s">
        <v>64</v>
      </c>
      <c r="G1092" t="s">
        <v>39</v>
      </c>
      <c r="H1092" t="s">
        <v>40</v>
      </c>
      <c r="I1092" t="s">
        <v>33</v>
      </c>
      <c r="J1092" s="2">
        <v>45146</v>
      </c>
      <c r="K1092" s="2">
        <v>45151</v>
      </c>
      <c r="L1092" s="2">
        <v>45160</v>
      </c>
      <c r="M1092" s="2">
        <v>45164</v>
      </c>
      <c r="N1092" s="2">
        <v>45175</v>
      </c>
      <c r="O1092">
        <v>1</v>
      </c>
      <c r="P1092">
        <v>1</v>
      </c>
      <c r="Q1092">
        <v>1</v>
      </c>
      <c r="R1092">
        <v>1</v>
      </c>
      <c r="S1092">
        <v>0</v>
      </c>
      <c r="T1092" t="s">
        <v>61</v>
      </c>
      <c r="U1092">
        <v>62</v>
      </c>
      <c r="V1092">
        <v>29</v>
      </c>
      <c r="W1092">
        <v>5</v>
      </c>
      <c r="X1092">
        <v>1273587</v>
      </c>
    </row>
    <row r="1093" spans="1:25">
      <c r="A1093" s="1" t="s">
        <v>1162</v>
      </c>
      <c r="B1093" t="s">
        <v>26</v>
      </c>
      <c r="C1093" t="s">
        <v>27</v>
      </c>
      <c r="D1093" t="s">
        <v>44</v>
      </c>
      <c r="E1093" t="s">
        <v>54</v>
      </c>
      <c r="F1093" t="s">
        <v>30</v>
      </c>
      <c r="G1093" t="s">
        <v>55</v>
      </c>
      <c r="H1093" t="s">
        <v>56</v>
      </c>
      <c r="I1093" t="s">
        <v>41</v>
      </c>
      <c r="J1093" s="2">
        <v>45067</v>
      </c>
      <c r="K1093" s="2">
        <v>45072</v>
      </c>
      <c r="L1093" s="2">
        <v>45079</v>
      </c>
      <c r="M1093" s="2">
        <v>45083</v>
      </c>
      <c r="N1093" s="2">
        <v>45087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74</v>
      </c>
      <c r="U1093">
        <v>74</v>
      </c>
      <c r="W1093">
        <v>2</v>
      </c>
    </row>
    <row r="1094" spans="1:25">
      <c r="A1094" s="1" t="s">
        <v>1163</v>
      </c>
      <c r="B1094" t="s">
        <v>26</v>
      </c>
      <c r="C1094" t="s">
        <v>78</v>
      </c>
      <c r="D1094" t="s">
        <v>28</v>
      </c>
      <c r="E1094" t="s">
        <v>63</v>
      </c>
      <c r="F1094" t="s">
        <v>76</v>
      </c>
      <c r="G1094" t="s">
        <v>39</v>
      </c>
      <c r="H1094" t="s">
        <v>32</v>
      </c>
      <c r="I1094" t="s">
        <v>33</v>
      </c>
      <c r="J1094" s="2">
        <v>45448</v>
      </c>
      <c r="K1094" s="2">
        <v>45450</v>
      </c>
      <c r="L1094" s="2">
        <v>45454</v>
      </c>
      <c r="M1094" s="2">
        <v>45457</v>
      </c>
      <c r="N1094" s="2">
        <v>45468</v>
      </c>
      <c r="O1094">
        <v>1</v>
      </c>
      <c r="P1094">
        <v>0</v>
      </c>
      <c r="Q1094">
        <v>0</v>
      </c>
      <c r="R1094">
        <v>0</v>
      </c>
      <c r="S1094">
        <v>0</v>
      </c>
      <c r="T1094" t="s">
        <v>34</v>
      </c>
      <c r="U1094">
        <v>58</v>
      </c>
      <c r="W1094">
        <v>10</v>
      </c>
    </row>
    <row r="1095" spans="1:25">
      <c r="A1095" s="1" t="s">
        <v>1164</v>
      </c>
      <c r="B1095" t="s">
        <v>58</v>
      </c>
      <c r="C1095" t="s">
        <v>37</v>
      </c>
      <c r="D1095" t="s">
        <v>44</v>
      </c>
      <c r="E1095" t="s">
        <v>63</v>
      </c>
      <c r="F1095" t="s">
        <v>76</v>
      </c>
      <c r="G1095" t="s">
        <v>39</v>
      </c>
      <c r="H1095" t="s">
        <v>40</v>
      </c>
      <c r="I1095" t="s">
        <v>33</v>
      </c>
      <c r="J1095" s="2">
        <v>45128</v>
      </c>
      <c r="K1095" s="2">
        <v>45132</v>
      </c>
      <c r="L1095" s="2">
        <v>45140</v>
      </c>
      <c r="M1095" s="2">
        <v>45146</v>
      </c>
      <c r="N1095" s="2">
        <v>45148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74</v>
      </c>
      <c r="U1095">
        <v>89</v>
      </c>
      <c r="W1095">
        <v>2</v>
      </c>
    </row>
    <row r="1096" spans="1:25">
      <c r="A1096" s="1" t="s">
        <v>1165</v>
      </c>
      <c r="B1096" t="s">
        <v>90</v>
      </c>
      <c r="C1096" t="s">
        <v>47</v>
      </c>
      <c r="D1096" t="s">
        <v>59</v>
      </c>
      <c r="E1096" t="s">
        <v>54</v>
      </c>
      <c r="F1096" t="s">
        <v>30</v>
      </c>
      <c r="G1096" t="s">
        <v>45</v>
      </c>
      <c r="H1096" t="s">
        <v>56</v>
      </c>
      <c r="I1096" t="s">
        <v>41</v>
      </c>
      <c r="J1096" s="2">
        <v>45139</v>
      </c>
      <c r="K1096" s="2">
        <v>45144</v>
      </c>
      <c r="L1096" s="2">
        <v>45151</v>
      </c>
      <c r="M1096" s="2">
        <v>45153</v>
      </c>
      <c r="N1096" s="2">
        <v>45168</v>
      </c>
      <c r="O1096">
        <v>1</v>
      </c>
      <c r="P1096">
        <v>0</v>
      </c>
      <c r="Q1096">
        <v>0</v>
      </c>
      <c r="R1096">
        <v>0</v>
      </c>
      <c r="S1096">
        <v>0</v>
      </c>
      <c r="T1096" t="s">
        <v>34</v>
      </c>
      <c r="U1096">
        <v>61</v>
      </c>
      <c r="W1096">
        <v>11</v>
      </c>
    </row>
    <row r="1097" spans="1:25">
      <c r="A1097" s="1" t="s">
        <v>1166</v>
      </c>
      <c r="B1097" t="s">
        <v>43</v>
      </c>
      <c r="C1097" t="s">
        <v>27</v>
      </c>
      <c r="D1097" t="s">
        <v>73</v>
      </c>
      <c r="E1097" t="s">
        <v>54</v>
      </c>
      <c r="F1097" t="s">
        <v>30</v>
      </c>
      <c r="G1097" t="s">
        <v>31</v>
      </c>
      <c r="H1097" t="s">
        <v>32</v>
      </c>
      <c r="I1097" t="s">
        <v>41</v>
      </c>
      <c r="J1097" s="2">
        <v>44957</v>
      </c>
      <c r="K1097" s="2">
        <v>44962</v>
      </c>
      <c r="L1097" s="2">
        <v>44966</v>
      </c>
      <c r="M1097" s="2">
        <v>44972</v>
      </c>
      <c r="N1097" s="2">
        <v>44973</v>
      </c>
      <c r="O1097">
        <v>1</v>
      </c>
      <c r="P1097">
        <v>0</v>
      </c>
      <c r="Q1097">
        <v>0</v>
      </c>
      <c r="R1097">
        <v>0</v>
      </c>
      <c r="S1097">
        <v>0</v>
      </c>
      <c r="T1097" t="s">
        <v>34</v>
      </c>
      <c r="U1097">
        <v>61</v>
      </c>
      <c r="W1097">
        <v>2</v>
      </c>
    </row>
    <row r="1098" spans="1:25">
      <c r="A1098" s="1" t="s">
        <v>1167</v>
      </c>
      <c r="B1098" t="s">
        <v>26</v>
      </c>
      <c r="C1098" t="s">
        <v>47</v>
      </c>
      <c r="D1098" t="s">
        <v>28</v>
      </c>
      <c r="E1098" t="s">
        <v>66</v>
      </c>
      <c r="F1098" t="s">
        <v>76</v>
      </c>
      <c r="G1098" t="s">
        <v>60</v>
      </c>
      <c r="H1098" t="s">
        <v>40</v>
      </c>
      <c r="I1098" t="s">
        <v>33</v>
      </c>
      <c r="J1098" s="2">
        <v>45370</v>
      </c>
      <c r="K1098" s="2">
        <v>45375</v>
      </c>
      <c r="L1098" s="2">
        <v>45380</v>
      </c>
      <c r="M1098" s="2">
        <v>45382</v>
      </c>
      <c r="N1098" s="2">
        <v>45384</v>
      </c>
      <c r="O1098">
        <v>1</v>
      </c>
      <c r="P1098">
        <v>1</v>
      </c>
      <c r="Q1098">
        <v>1</v>
      </c>
      <c r="R1098">
        <v>0</v>
      </c>
      <c r="S1098">
        <v>1</v>
      </c>
      <c r="T1098" t="s">
        <v>49</v>
      </c>
      <c r="U1098">
        <v>68</v>
      </c>
      <c r="W1098">
        <v>14</v>
      </c>
      <c r="X1098">
        <v>3043060</v>
      </c>
      <c r="Y1098" t="s">
        <v>80</v>
      </c>
    </row>
    <row r="1099" spans="1:25">
      <c r="A1099" s="1" t="s">
        <v>1168</v>
      </c>
      <c r="B1099" t="s">
        <v>90</v>
      </c>
      <c r="C1099" t="s">
        <v>37</v>
      </c>
      <c r="D1099" t="s">
        <v>52</v>
      </c>
      <c r="E1099" t="s">
        <v>102</v>
      </c>
      <c r="F1099" t="s">
        <v>30</v>
      </c>
      <c r="G1099" t="s">
        <v>31</v>
      </c>
      <c r="H1099" t="s">
        <v>32</v>
      </c>
      <c r="I1099" t="s">
        <v>41</v>
      </c>
      <c r="J1099" s="2">
        <v>44930</v>
      </c>
      <c r="K1099" s="2">
        <v>44932</v>
      </c>
      <c r="L1099" s="2">
        <v>44942</v>
      </c>
      <c r="M1099" s="2">
        <v>44948</v>
      </c>
      <c r="N1099" s="2">
        <v>44958</v>
      </c>
      <c r="O1099">
        <v>1</v>
      </c>
      <c r="P1099">
        <v>1</v>
      </c>
      <c r="Q1099">
        <v>0</v>
      </c>
      <c r="R1099">
        <v>0</v>
      </c>
      <c r="S1099">
        <v>0</v>
      </c>
      <c r="T1099" t="s">
        <v>34</v>
      </c>
      <c r="U1099">
        <v>51</v>
      </c>
      <c r="W1099">
        <v>2</v>
      </c>
    </row>
    <row r="1100" spans="1:25">
      <c r="A1100" s="1" t="s">
        <v>1169</v>
      </c>
      <c r="B1100" t="s">
        <v>90</v>
      </c>
      <c r="C1100" t="s">
        <v>78</v>
      </c>
      <c r="D1100" t="s">
        <v>52</v>
      </c>
      <c r="E1100" t="s">
        <v>102</v>
      </c>
      <c r="F1100" t="s">
        <v>38</v>
      </c>
      <c r="G1100" t="s">
        <v>60</v>
      </c>
      <c r="H1100" t="s">
        <v>32</v>
      </c>
      <c r="I1100" t="s">
        <v>33</v>
      </c>
      <c r="J1100" s="2">
        <v>45075</v>
      </c>
      <c r="K1100" s="2">
        <v>45078</v>
      </c>
      <c r="L1100" s="2">
        <v>45083</v>
      </c>
      <c r="M1100" s="2">
        <v>45085</v>
      </c>
      <c r="N1100" s="2">
        <v>45105</v>
      </c>
      <c r="O1100">
        <v>1</v>
      </c>
      <c r="P1100">
        <v>1</v>
      </c>
      <c r="Q1100">
        <v>1</v>
      </c>
      <c r="R1100">
        <v>0</v>
      </c>
      <c r="S1100">
        <v>0</v>
      </c>
      <c r="T1100" t="s">
        <v>49</v>
      </c>
      <c r="U1100">
        <v>63</v>
      </c>
      <c r="W1100">
        <v>10</v>
      </c>
      <c r="X1100">
        <v>1651365</v>
      </c>
      <c r="Y1100" t="s">
        <v>127</v>
      </c>
    </row>
    <row r="1101" spans="1:25">
      <c r="A1101" s="1" t="s">
        <v>1170</v>
      </c>
      <c r="B1101" t="s">
        <v>70</v>
      </c>
      <c r="C1101" t="s">
        <v>78</v>
      </c>
      <c r="D1101" t="s">
        <v>28</v>
      </c>
      <c r="E1101" t="s">
        <v>63</v>
      </c>
      <c r="F1101" t="s">
        <v>64</v>
      </c>
      <c r="G1101" t="s">
        <v>45</v>
      </c>
      <c r="H1101" t="s">
        <v>56</v>
      </c>
      <c r="I1101" t="s">
        <v>41</v>
      </c>
      <c r="J1101" s="2">
        <v>45321</v>
      </c>
      <c r="K1101" s="2">
        <v>45323</v>
      </c>
      <c r="L1101" s="2">
        <v>45327</v>
      </c>
      <c r="M1101" s="2">
        <v>45331</v>
      </c>
      <c r="N1101" s="2">
        <v>45357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74</v>
      </c>
      <c r="U1101">
        <v>52</v>
      </c>
      <c r="W1101">
        <v>8</v>
      </c>
    </row>
    <row r="1102" spans="1:25">
      <c r="A1102" s="1" t="s">
        <v>1171</v>
      </c>
      <c r="B1102" t="s">
        <v>43</v>
      </c>
      <c r="C1102" t="s">
        <v>71</v>
      </c>
      <c r="D1102" t="s">
        <v>28</v>
      </c>
      <c r="E1102" t="s">
        <v>63</v>
      </c>
      <c r="F1102" t="s">
        <v>38</v>
      </c>
      <c r="G1102" t="s">
        <v>60</v>
      </c>
      <c r="H1102" t="s">
        <v>32</v>
      </c>
      <c r="I1102" t="s">
        <v>33</v>
      </c>
      <c r="J1102" s="2">
        <v>45264</v>
      </c>
      <c r="K1102" s="2">
        <v>45267</v>
      </c>
      <c r="L1102" s="2">
        <v>45272</v>
      </c>
      <c r="M1102" s="2">
        <v>45275</v>
      </c>
      <c r="N1102" s="2">
        <v>45283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74</v>
      </c>
      <c r="U1102">
        <v>48</v>
      </c>
      <c r="W1102">
        <v>3</v>
      </c>
    </row>
    <row r="1103" spans="1:25">
      <c r="A1103" s="1" t="s">
        <v>1172</v>
      </c>
      <c r="B1103" t="s">
        <v>43</v>
      </c>
      <c r="C1103" t="s">
        <v>78</v>
      </c>
      <c r="D1103" t="s">
        <v>44</v>
      </c>
      <c r="E1103" t="s">
        <v>54</v>
      </c>
      <c r="F1103" t="s">
        <v>30</v>
      </c>
      <c r="G1103" t="s">
        <v>39</v>
      </c>
      <c r="H1103" t="s">
        <v>56</v>
      </c>
      <c r="I1103" t="s">
        <v>41</v>
      </c>
      <c r="J1103" s="2">
        <v>45463</v>
      </c>
      <c r="K1103" s="2">
        <v>45464</v>
      </c>
      <c r="L1103" s="2">
        <v>45470</v>
      </c>
      <c r="M1103" s="2">
        <v>45475</v>
      </c>
      <c r="N1103" s="2">
        <v>45491</v>
      </c>
      <c r="O1103">
        <v>1</v>
      </c>
      <c r="P1103">
        <v>0</v>
      </c>
      <c r="Q1103">
        <v>0</v>
      </c>
      <c r="R1103">
        <v>0</v>
      </c>
      <c r="S1103">
        <v>0</v>
      </c>
      <c r="T1103" t="s">
        <v>34</v>
      </c>
      <c r="U1103">
        <v>53</v>
      </c>
      <c r="W1103">
        <v>8</v>
      </c>
    </row>
    <row r="1104" spans="1:25">
      <c r="A1104" s="1" t="s">
        <v>1173</v>
      </c>
      <c r="B1104" t="s">
        <v>58</v>
      </c>
      <c r="C1104" t="s">
        <v>47</v>
      </c>
      <c r="D1104" t="s">
        <v>73</v>
      </c>
      <c r="E1104" t="s">
        <v>66</v>
      </c>
      <c r="F1104" t="s">
        <v>30</v>
      </c>
      <c r="G1104" t="s">
        <v>60</v>
      </c>
      <c r="H1104" t="s">
        <v>56</v>
      </c>
      <c r="I1104" t="s">
        <v>41</v>
      </c>
      <c r="J1104" s="2">
        <v>45301</v>
      </c>
      <c r="K1104" s="2">
        <v>45303</v>
      </c>
      <c r="L1104" s="2">
        <v>45311</v>
      </c>
      <c r="M1104" s="2">
        <v>45317</v>
      </c>
      <c r="N1104" s="2">
        <v>45321</v>
      </c>
      <c r="O1104">
        <v>1</v>
      </c>
      <c r="P1104">
        <v>0</v>
      </c>
      <c r="Q1104">
        <v>0</v>
      </c>
      <c r="R1104">
        <v>0</v>
      </c>
      <c r="S1104">
        <v>0</v>
      </c>
      <c r="T1104" t="s">
        <v>34</v>
      </c>
      <c r="U1104">
        <v>56</v>
      </c>
      <c r="W1104">
        <v>12</v>
      </c>
    </row>
    <row r="1105" spans="1:25">
      <c r="A1105" s="1" t="s">
        <v>1174</v>
      </c>
      <c r="B1105" t="s">
        <v>58</v>
      </c>
      <c r="C1105" t="s">
        <v>47</v>
      </c>
      <c r="D1105" t="s">
        <v>44</v>
      </c>
      <c r="E1105" t="s">
        <v>63</v>
      </c>
      <c r="F1105" t="s">
        <v>30</v>
      </c>
      <c r="G1105" t="s">
        <v>45</v>
      </c>
      <c r="H1105" t="s">
        <v>40</v>
      </c>
      <c r="I1105" t="s">
        <v>41</v>
      </c>
      <c r="J1105" s="2">
        <v>45164</v>
      </c>
      <c r="K1105" s="2">
        <v>45166</v>
      </c>
      <c r="L1105" s="2">
        <v>45174</v>
      </c>
      <c r="M1105" s="2">
        <v>45178</v>
      </c>
      <c r="N1105" s="2">
        <v>45174</v>
      </c>
      <c r="O1105">
        <v>1</v>
      </c>
      <c r="P1105">
        <v>1</v>
      </c>
      <c r="Q1105">
        <v>1</v>
      </c>
      <c r="R1105">
        <v>1</v>
      </c>
      <c r="S1105">
        <v>0</v>
      </c>
      <c r="T1105" t="s">
        <v>61</v>
      </c>
      <c r="U1105">
        <v>48</v>
      </c>
      <c r="V1105">
        <v>10</v>
      </c>
      <c r="W1105">
        <v>11</v>
      </c>
      <c r="X1105">
        <v>1840616</v>
      </c>
    </row>
    <row r="1106" spans="1:25">
      <c r="A1106" s="1" t="s">
        <v>1175</v>
      </c>
      <c r="B1106" t="s">
        <v>36</v>
      </c>
      <c r="C1106" t="s">
        <v>27</v>
      </c>
      <c r="D1106" t="s">
        <v>52</v>
      </c>
      <c r="E1106" t="s">
        <v>54</v>
      </c>
      <c r="F1106" t="s">
        <v>76</v>
      </c>
      <c r="G1106" t="s">
        <v>39</v>
      </c>
      <c r="H1106" t="s">
        <v>56</v>
      </c>
      <c r="I1106" t="s">
        <v>33</v>
      </c>
      <c r="J1106" s="2">
        <v>44943</v>
      </c>
      <c r="K1106" s="2">
        <v>44947</v>
      </c>
      <c r="L1106" s="2">
        <v>44957</v>
      </c>
      <c r="M1106" s="2">
        <v>44959</v>
      </c>
      <c r="N1106" s="2">
        <v>44963</v>
      </c>
      <c r="O1106">
        <v>1</v>
      </c>
      <c r="P1106">
        <v>1</v>
      </c>
      <c r="Q1106">
        <v>1</v>
      </c>
      <c r="R1106">
        <v>0</v>
      </c>
      <c r="S1106">
        <v>0</v>
      </c>
      <c r="T1106" t="s">
        <v>49</v>
      </c>
      <c r="U1106">
        <v>64</v>
      </c>
      <c r="W1106">
        <v>1</v>
      </c>
      <c r="X1106">
        <v>451713</v>
      </c>
      <c r="Y1106" t="s">
        <v>50</v>
      </c>
    </row>
    <row r="1107" spans="1:25">
      <c r="A1107" s="1" t="s">
        <v>1176</v>
      </c>
      <c r="B1107" t="s">
        <v>70</v>
      </c>
      <c r="C1107" t="s">
        <v>71</v>
      </c>
      <c r="D1107" t="s">
        <v>44</v>
      </c>
      <c r="E1107" t="s">
        <v>54</v>
      </c>
      <c r="F1107" t="s">
        <v>48</v>
      </c>
      <c r="G1107" t="s">
        <v>60</v>
      </c>
      <c r="H1107" t="s">
        <v>40</v>
      </c>
      <c r="I1107" t="s">
        <v>41</v>
      </c>
      <c r="J1107" s="2">
        <v>45221</v>
      </c>
      <c r="K1107" s="2">
        <v>45226</v>
      </c>
      <c r="L1107" s="2">
        <v>45229</v>
      </c>
      <c r="M1107" s="2">
        <v>45231</v>
      </c>
      <c r="N1107" s="2">
        <v>45247</v>
      </c>
      <c r="O1107">
        <v>1</v>
      </c>
      <c r="P1107">
        <v>1</v>
      </c>
      <c r="Q1107">
        <v>1</v>
      </c>
      <c r="R1107">
        <v>0</v>
      </c>
      <c r="S1107">
        <v>1</v>
      </c>
      <c r="T1107" t="s">
        <v>49</v>
      </c>
      <c r="U1107">
        <v>85</v>
      </c>
      <c r="W1107">
        <v>5</v>
      </c>
      <c r="X1107">
        <v>896137</v>
      </c>
      <c r="Y1107" t="s">
        <v>50</v>
      </c>
    </row>
    <row r="1108" spans="1:25">
      <c r="A1108" s="1" t="s">
        <v>1177</v>
      </c>
      <c r="B1108" t="s">
        <v>43</v>
      </c>
      <c r="C1108" t="s">
        <v>37</v>
      </c>
      <c r="D1108" t="s">
        <v>59</v>
      </c>
      <c r="E1108" t="s">
        <v>29</v>
      </c>
      <c r="F1108" t="s">
        <v>67</v>
      </c>
      <c r="G1108" t="s">
        <v>31</v>
      </c>
      <c r="H1108" t="s">
        <v>40</v>
      </c>
      <c r="I1108" t="s">
        <v>41</v>
      </c>
      <c r="J1108" s="2">
        <v>45141</v>
      </c>
      <c r="K1108" s="2">
        <v>45146</v>
      </c>
      <c r="L1108" s="2">
        <v>45155</v>
      </c>
      <c r="M1108" s="2">
        <v>45157</v>
      </c>
      <c r="N1108" s="2">
        <v>45169</v>
      </c>
      <c r="O1108">
        <v>0</v>
      </c>
      <c r="P1108">
        <v>0</v>
      </c>
      <c r="Q1108">
        <v>0</v>
      </c>
      <c r="R1108">
        <v>0</v>
      </c>
      <c r="S1108">
        <v>0</v>
      </c>
      <c r="T1108" t="s">
        <v>74</v>
      </c>
      <c r="U1108">
        <v>97</v>
      </c>
      <c r="W1108">
        <v>1</v>
      </c>
    </row>
    <row r="1109" spans="1:25">
      <c r="A1109" s="1" t="s">
        <v>1178</v>
      </c>
      <c r="B1109" t="s">
        <v>58</v>
      </c>
      <c r="C1109" t="s">
        <v>47</v>
      </c>
      <c r="D1109" t="s">
        <v>73</v>
      </c>
      <c r="E1109" t="s">
        <v>29</v>
      </c>
      <c r="F1109" t="s">
        <v>67</v>
      </c>
      <c r="G1109" t="s">
        <v>55</v>
      </c>
      <c r="H1109" t="s">
        <v>32</v>
      </c>
      <c r="I1109" t="s">
        <v>41</v>
      </c>
      <c r="J1109" s="2">
        <v>45391</v>
      </c>
      <c r="K1109" s="2">
        <v>45395</v>
      </c>
      <c r="L1109" s="2">
        <v>45403</v>
      </c>
      <c r="M1109" s="2">
        <v>45409</v>
      </c>
      <c r="N1109" s="2">
        <v>45413</v>
      </c>
      <c r="O1109">
        <v>1</v>
      </c>
      <c r="P1109">
        <v>1</v>
      </c>
      <c r="Q1109">
        <v>0</v>
      </c>
      <c r="R1109">
        <v>0</v>
      </c>
      <c r="S1109">
        <v>0</v>
      </c>
      <c r="T1109" t="s">
        <v>34</v>
      </c>
      <c r="U1109">
        <v>57</v>
      </c>
      <c r="W1109">
        <v>9</v>
      </c>
    </row>
    <row r="1110" spans="1:25">
      <c r="A1110" s="1" t="s">
        <v>1179</v>
      </c>
      <c r="B1110" t="s">
        <v>43</v>
      </c>
      <c r="C1110" t="s">
        <v>37</v>
      </c>
      <c r="D1110" t="s">
        <v>52</v>
      </c>
      <c r="E1110" t="s">
        <v>66</v>
      </c>
      <c r="F1110" t="s">
        <v>67</v>
      </c>
      <c r="G1110" t="s">
        <v>45</v>
      </c>
      <c r="H1110" t="s">
        <v>32</v>
      </c>
      <c r="I1110" t="s">
        <v>41</v>
      </c>
      <c r="J1110" s="2">
        <v>45178</v>
      </c>
      <c r="K1110" s="2">
        <v>45180</v>
      </c>
      <c r="L1110" s="2">
        <v>45189</v>
      </c>
      <c r="M1110" s="2">
        <v>45192</v>
      </c>
      <c r="N1110" s="2">
        <v>45205</v>
      </c>
      <c r="O1110">
        <v>1</v>
      </c>
      <c r="P1110">
        <v>0</v>
      </c>
      <c r="Q1110">
        <v>0</v>
      </c>
      <c r="R1110">
        <v>0</v>
      </c>
      <c r="S1110">
        <v>0</v>
      </c>
      <c r="T1110" t="s">
        <v>34</v>
      </c>
      <c r="U1110">
        <v>66</v>
      </c>
      <c r="W1110">
        <v>2</v>
      </c>
    </row>
    <row r="1111" spans="1:25">
      <c r="A1111" s="1" t="s">
        <v>1180</v>
      </c>
      <c r="B1111" t="s">
        <v>58</v>
      </c>
      <c r="C1111" t="s">
        <v>71</v>
      </c>
      <c r="D1111" t="s">
        <v>44</v>
      </c>
      <c r="E1111" t="s">
        <v>54</v>
      </c>
      <c r="F1111" t="s">
        <v>64</v>
      </c>
      <c r="G1111" t="s">
        <v>45</v>
      </c>
      <c r="H1111" t="s">
        <v>40</v>
      </c>
      <c r="I1111" t="s">
        <v>33</v>
      </c>
      <c r="J1111" s="2">
        <v>45110</v>
      </c>
      <c r="K1111" s="2">
        <v>45111</v>
      </c>
      <c r="L1111" s="2">
        <v>45114</v>
      </c>
      <c r="M1111" s="2">
        <v>45119</v>
      </c>
      <c r="N1111" s="2">
        <v>45125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74</v>
      </c>
      <c r="U1111">
        <v>86</v>
      </c>
      <c r="W1111">
        <v>5</v>
      </c>
    </row>
    <row r="1112" spans="1:25">
      <c r="A1112" s="1" t="s">
        <v>1181</v>
      </c>
      <c r="B1112" t="s">
        <v>43</v>
      </c>
      <c r="C1112" t="s">
        <v>37</v>
      </c>
      <c r="D1112" t="s">
        <v>44</v>
      </c>
      <c r="E1112" t="s">
        <v>54</v>
      </c>
      <c r="F1112" t="s">
        <v>67</v>
      </c>
      <c r="G1112" t="s">
        <v>60</v>
      </c>
      <c r="H1112" t="s">
        <v>32</v>
      </c>
      <c r="I1112" t="s">
        <v>33</v>
      </c>
      <c r="J1112" s="2">
        <v>45005</v>
      </c>
      <c r="K1112" s="2">
        <v>45007</v>
      </c>
      <c r="L1112" s="2">
        <v>45012</v>
      </c>
      <c r="M1112" s="2">
        <v>45014</v>
      </c>
      <c r="N1112" s="2">
        <v>45022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74</v>
      </c>
      <c r="U1112">
        <v>93</v>
      </c>
      <c r="W1112">
        <v>2</v>
      </c>
    </row>
    <row r="1113" spans="1:25">
      <c r="A1113" s="1" t="s">
        <v>1182</v>
      </c>
      <c r="B1113" t="s">
        <v>26</v>
      </c>
      <c r="C1113" t="s">
        <v>47</v>
      </c>
      <c r="D1113" t="s">
        <v>73</v>
      </c>
      <c r="E1113" t="s">
        <v>63</v>
      </c>
      <c r="F1113" t="s">
        <v>76</v>
      </c>
      <c r="G1113" t="s">
        <v>45</v>
      </c>
      <c r="H1113" t="s">
        <v>56</v>
      </c>
      <c r="I1113" t="s">
        <v>33</v>
      </c>
      <c r="J1113" s="2">
        <v>45208</v>
      </c>
      <c r="K1113" s="2">
        <v>45210</v>
      </c>
      <c r="L1113" s="2">
        <v>45220</v>
      </c>
      <c r="M1113" s="2">
        <v>45222</v>
      </c>
      <c r="N1113" s="2">
        <v>45231</v>
      </c>
      <c r="O1113">
        <v>1</v>
      </c>
      <c r="P1113">
        <v>0</v>
      </c>
      <c r="Q1113">
        <v>0</v>
      </c>
      <c r="R1113">
        <v>0</v>
      </c>
      <c r="S1113">
        <v>1</v>
      </c>
      <c r="T1113" t="s">
        <v>34</v>
      </c>
      <c r="U1113">
        <v>67</v>
      </c>
      <c r="W1113">
        <v>11</v>
      </c>
    </row>
    <row r="1114" spans="1:25">
      <c r="A1114" s="1" t="s">
        <v>1183</v>
      </c>
      <c r="B1114" t="s">
        <v>70</v>
      </c>
      <c r="C1114" t="s">
        <v>37</v>
      </c>
      <c r="D1114" t="s">
        <v>73</v>
      </c>
      <c r="E1114" t="s">
        <v>29</v>
      </c>
      <c r="F1114" t="s">
        <v>38</v>
      </c>
      <c r="G1114" t="s">
        <v>31</v>
      </c>
      <c r="H1114" t="s">
        <v>32</v>
      </c>
      <c r="I1114" t="s">
        <v>41</v>
      </c>
      <c r="J1114" s="2">
        <v>45204</v>
      </c>
      <c r="K1114" s="2">
        <v>45207</v>
      </c>
      <c r="L1114" s="2">
        <v>45210</v>
      </c>
      <c r="M1114" s="2">
        <v>45213</v>
      </c>
      <c r="N1114" s="2">
        <v>45238</v>
      </c>
      <c r="O1114">
        <v>1</v>
      </c>
      <c r="P1114">
        <v>0</v>
      </c>
      <c r="Q1114">
        <v>0</v>
      </c>
      <c r="R1114">
        <v>0</v>
      </c>
      <c r="S1114">
        <v>0</v>
      </c>
      <c r="T1114" t="s">
        <v>34</v>
      </c>
      <c r="U1114">
        <v>54</v>
      </c>
      <c r="W1114">
        <v>2</v>
      </c>
    </row>
    <row r="1115" spans="1:25">
      <c r="A1115" s="1" t="s">
        <v>1184</v>
      </c>
      <c r="B1115" t="s">
        <v>58</v>
      </c>
      <c r="C1115" t="s">
        <v>71</v>
      </c>
      <c r="D1115" t="s">
        <v>44</v>
      </c>
      <c r="E1115" t="s">
        <v>66</v>
      </c>
      <c r="F1115" t="s">
        <v>48</v>
      </c>
      <c r="G1115" t="s">
        <v>60</v>
      </c>
      <c r="H1115" t="s">
        <v>32</v>
      </c>
      <c r="I1115" t="s">
        <v>33</v>
      </c>
      <c r="J1115" s="2">
        <v>44986</v>
      </c>
      <c r="K1115" s="2">
        <v>44991</v>
      </c>
      <c r="L1115" s="2">
        <v>44996</v>
      </c>
      <c r="M1115" s="2">
        <v>44999</v>
      </c>
      <c r="N1115" s="2">
        <v>45001</v>
      </c>
      <c r="O1115">
        <v>1</v>
      </c>
      <c r="P1115">
        <v>1</v>
      </c>
      <c r="Q1115">
        <v>1</v>
      </c>
      <c r="R1115">
        <v>1</v>
      </c>
      <c r="S1115">
        <v>0</v>
      </c>
      <c r="T1115" t="s">
        <v>61</v>
      </c>
      <c r="U1115">
        <v>71</v>
      </c>
      <c r="V1115">
        <v>15</v>
      </c>
      <c r="W1115">
        <v>7</v>
      </c>
      <c r="X1115">
        <v>1304445</v>
      </c>
    </row>
    <row r="1116" spans="1:25">
      <c r="A1116" s="1" t="s">
        <v>1185</v>
      </c>
      <c r="B1116" t="s">
        <v>70</v>
      </c>
      <c r="C1116" t="s">
        <v>71</v>
      </c>
      <c r="D1116" t="s">
        <v>44</v>
      </c>
      <c r="E1116" t="s">
        <v>66</v>
      </c>
      <c r="F1116" t="s">
        <v>67</v>
      </c>
      <c r="G1116" t="s">
        <v>60</v>
      </c>
      <c r="H1116" t="s">
        <v>56</v>
      </c>
      <c r="I1116" t="s">
        <v>33</v>
      </c>
      <c r="J1116" s="2">
        <v>44976</v>
      </c>
      <c r="K1116" s="2">
        <v>44977</v>
      </c>
      <c r="L1116" s="2">
        <v>44986</v>
      </c>
      <c r="M1116" s="2">
        <v>44989</v>
      </c>
      <c r="N1116" s="2">
        <v>45010</v>
      </c>
      <c r="O1116">
        <v>0</v>
      </c>
      <c r="P1116">
        <v>0</v>
      </c>
      <c r="Q1116">
        <v>0</v>
      </c>
      <c r="R1116">
        <v>0</v>
      </c>
      <c r="S1116">
        <v>0</v>
      </c>
      <c r="T1116" t="s">
        <v>74</v>
      </c>
      <c r="U1116">
        <v>59</v>
      </c>
      <c r="W1116">
        <v>5</v>
      </c>
    </row>
    <row r="1117" spans="1:25">
      <c r="A1117" s="1" t="s">
        <v>1186</v>
      </c>
      <c r="B1117" t="s">
        <v>26</v>
      </c>
      <c r="C1117" t="s">
        <v>47</v>
      </c>
      <c r="D1117" t="s">
        <v>28</v>
      </c>
      <c r="E1117" t="s">
        <v>63</v>
      </c>
      <c r="F1117" t="s">
        <v>48</v>
      </c>
      <c r="G1117" t="s">
        <v>31</v>
      </c>
      <c r="H1117" t="s">
        <v>40</v>
      </c>
      <c r="I1117" t="s">
        <v>41</v>
      </c>
      <c r="J1117" s="2">
        <v>45260</v>
      </c>
      <c r="K1117" s="2">
        <v>45263</v>
      </c>
      <c r="L1117" s="2">
        <v>45266</v>
      </c>
      <c r="M1117" s="2">
        <v>45273</v>
      </c>
      <c r="N1117" s="2">
        <v>45273</v>
      </c>
      <c r="O1117">
        <v>1</v>
      </c>
      <c r="P1117">
        <v>0</v>
      </c>
      <c r="Q1117">
        <v>0</v>
      </c>
      <c r="R1117">
        <v>0</v>
      </c>
      <c r="S1117">
        <v>0</v>
      </c>
      <c r="T1117" t="s">
        <v>34</v>
      </c>
      <c r="U1117">
        <v>70</v>
      </c>
      <c r="W1117">
        <v>8</v>
      </c>
    </row>
    <row r="1118" spans="1:25">
      <c r="A1118" s="1" t="s">
        <v>1187</v>
      </c>
      <c r="B1118" t="s">
        <v>43</v>
      </c>
      <c r="C1118" t="s">
        <v>78</v>
      </c>
      <c r="D1118" t="s">
        <v>44</v>
      </c>
      <c r="E1118" t="s">
        <v>66</v>
      </c>
      <c r="F1118" t="s">
        <v>67</v>
      </c>
      <c r="G1118" t="s">
        <v>39</v>
      </c>
      <c r="H1118" t="s">
        <v>40</v>
      </c>
      <c r="I1118" t="s">
        <v>33</v>
      </c>
      <c r="J1118" s="2">
        <v>44950</v>
      </c>
      <c r="K1118" s="2">
        <v>44955</v>
      </c>
      <c r="L1118" s="2">
        <v>44960</v>
      </c>
      <c r="M1118" s="2">
        <v>44966</v>
      </c>
      <c r="N1118" s="2">
        <v>44974</v>
      </c>
      <c r="O1118">
        <v>1</v>
      </c>
      <c r="P1118">
        <v>1</v>
      </c>
      <c r="Q1118">
        <v>0</v>
      </c>
      <c r="R1118">
        <v>0</v>
      </c>
      <c r="S1118">
        <v>0</v>
      </c>
      <c r="T1118" t="s">
        <v>34</v>
      </c>
      <c r="U1118">
        <v>47</v>
      </c>
      <c r="W1118">
        <v>6</v>
      </c>
    </row>
    <row r="1119" spans="1:25">
      <c r="A1119" s="1" t="s">
        <v>1188</v>
      </c>
      <c r="B1119" t="s">
        <v>26</v>
      </c>
      <c r="C1119" t="s">
        <v>27</v>
      </c>
      <c r="D1119" t="s">
        <v>73</v>
      </c>
      <c r="E1119" t="s">
        <v>29</v>
      </c>
      <c r="F1119" t="s">
        <v>48</v>
      </c>
      <c r="G1119" t="s">
        <v>39</v>
      </c>
      <c r="H1119" t="s">
        <v>40</v>
      </c>
      <c r="I1119" t="s">
        <v>33</v>
      </c>
      <c r="J1119" s="2">
        <v>45026</v>
      </c>
      <c r="K1119" s="2">
        <v>45031</v>
      </c>
      <c r="L1119" s="2">
        <v>45034</v>
      </c>
      <c r="M1119" s="2">
        <v>45037</v>
      </c>
      <c r="N1119" s="2">
        <v>45048</v>
      </c>
      <c r="O1119">
        <v>1</v>
      </c>
      <c r="P1119">
        <v>0</v>
      </c>
      <c r="Q1119">
        <v>0</v>
      </c>
      <c r="R1119">
        <v>0</v>
      </c>
      <c r="S1119">
        <v>0</v>
      </c>
      <c r="T1119" t="s">
        <v>34</v>
      </c>
      <c r="U1119">
        <v>50</v>
      </c>
      <c r="W1119">
        <v>1</v>
      </c>
    </row>
    <row r="1120" spans="1:25">
      <c r="A1120" s="1" t="s">
        <v>1189</v>
      </c>
      <c r="B1120" t="s">
        <v>70</v>
      </c>
      <c r="C1120" t="s">
        <v>71</v>
      </c>
      <c r="D1120" t="s">
        <v>44</v>
      </c>
      <c r="E1120" t="s">
        <v>29</v>
      </c>
      <c r="F1120" t="s">
        <v>64</v>
      </c>
      <c r="G1120" t="s">
        <v>45</v>
      </c>
      <c r="H1120" t="s">
        <v>32</v>
      </c>
      <c r="I1120" t="s">
        <v>41</v>
      </c>
      <c r="J1120" s="2">
        <v>45468</v>
      </c>
      <c r="K1120" s="2">
        <v>45471</v>
      </c>
      <c r="L1120" s="2">
        <v>45480</v>
      </c>
      <c r="M1120" s="2">
        <v>45487</v>
      </c>
      <c r="N1120" s="2">
        <v>45505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74</v>
      </c>
      <c r="U1120">
        <v>99</v>
      </c>
      <c r="W1120">
        <v>6</v>
      </c>
    </row>
    <row r="1121" spans="1:25">
      <c r="A1121" s="1" t="s">
        <v>1190</v>
      </c>
      <c r="B1121" t="s">
        <v>70</v>
      </c>
      <c r="C1121" t="s">
        <v>71</v>
      </c>
      <c r="D1121" t="s">
        <v>73</v>
      </c>
      <c r="E1121" t="s">
        <v>29</v>
      </c>
      <c r="F1121" t="s">
        <v>30</v>
      </c>
      <c r="G1121" t="s">
        <v>55</v>
      </c>
      <c r="H1121" t="s">
        <v>40</v>
      </c>
      <c r="I1121" t="s">
        <v>33</v>
      </c>
      <c r="J1121" s="2">
        <v>45202</v>
      </c>
      <c r="K1121" s="2">
        <v>45204</v>
      </c>
      <c r="L1121" s="2">
        <v>45207</v>
      </c>
      <c r="M1121" s="2">
        <v>45209</v>
      </c>
      <c r="N1121" s="2">
        <v>45235</v>
      </c>
      <c r="O1121">
        <v>1</v>
      </c>
      <c r="P1121">
        <v>1</v>
      </c>
      <c r="Q1121">
        <v>1</v>
      </c>
      <c r="R1121">
        <v>0</v>
      </c>
      <c r="S1121">
        <v>1</v>
      </c>
      <c r="T1121" t="s">
        <v>49</v>
      </c>
      <c r="U1121">
        <v>69</v>
      </c>
      <c r="W1121">
        <v>4</v>
      </c>
      <c r="X1121">
        <v>1495199</v>
      </c>
      <c r="Y1121" t="s">
        <v>80</v>
      </c>
    </row>
    <row r="1122" spans="1:25">
      <c r="A1122" s="1" t="s">
        <v>1191</v>
      </c>
      <c r="B1122" t="s">
        <v>90</v>
      </c>
      <c r="C1122" t="s">
        <v>71</v>
      </c>
      <c r="D1122" t="s">
        <v>73</v>
      </c>
      <c r="E1122" t="s">
        <v>29</v>
      </c>
      <c r="F1122" t="s">
        <v>38</v>
      </c>
      <c r="G1122" t="s">
        <v>45</v>
      </c>
      <c r="H1122" t="s">
        <v>40</v>
      </c>
      <c r="I1122" t="s">
        <v>33</v>
      </c>
      <c r="J1122" s="2">
        <v>45459</v>
      </c>
      <c r="K1122" s="2">
        <v>45460</v>
      </c>
      <c r="L1122" s="2">
        <v>45465</v>
      </c>
      <c r="M1122" s="2">
        <v>45470</v>
      </c>
      <c r="N1122" s="2">
        <v>45493</v>
      </c>
      <c r="O1122">
        <v>1</v>
      </c>
      <c r="P1122">
        <v>0</v>
      </c>
      <c r="Q1122">
        <v>0</v>
      </c>
      <c r="R1122">
        <v>0</v>
      </c>
      <c r="S1122">
        <v>0</v>
      </c>
      <c r="T1122" t="s">
        <v>34</v>
      </c>
      <c r="U1122">
        <v>64</v>
      </c>
      <c r="W1122">
        <v>6</v>
      </c>
    </row>
    <row r="1123" spans="1:25">
      <c r="A1123" s="1" t="s">
        <v>1192</v>
      </c>
      <c r="B1123" t="s">
        <v>43</v>
      </c>
      <c r="C1123" t="s">
        <v>47</v>
      </c>
      <c r="D1123" t="s">
        <v>28</v>
      </c>
      <c r="E1123" t="s">
        <v>54</v>
      </c>
      <c r="F1123" t="s">
        <v>30</v>
      </c>
      <c r="G1123" t="s">
        <v>45</v>
      </c>
      <c r="H1123" t="s">
        <v>56</v>
      </c>
      <c r="I1123" t="s">
        <v>41</v>
      </c>
      <c r="J1123" s="2">
        <v>45385</v>
      </c>
      <c r="K1123" s="2">
        <v>45390</v>
      </c>
      <c r="L1123" s="2">
        <v>45394</v>
      </c>
      <c r="M1123" s="2">
        <v>45398</v>
      </c>
      <c r="N1123" s="2">
        <v>45403</v>
      </c>
      <c r="O1123">
        <v>1</v>
      </c>
      <c r="P1123">
        <v>1</v>
      </c>
      <c r="Q1123">
        <v>1</v>
      </c>
      <c r="R1123">
        <v>0</v>
      </c>
      <c r="S1123">
        <v>0</v>
      </c>
      <c r="T1123" t="s">
        <v>49</v>
      </c>
      <c r="U1123">
        <v>68</v>
      </c>
      <c r="W1123">
        <v>12</v>
      </c>
      <c r="X1123">
        <v>2559361</v>
      </c>
      <c r="Y1123" t="s">
        <v>87</v>
      </c>
    </row>
    <row r="1124" spans="1:25">
      <c r="A1124" s="1" t="s">
        <v>1193</v>
      </c>
      <c r="B1124" t="s">
        <v>58</v>
      </c>
      <c r="C1124" t="s">
        <v>37</v>
      </c>
      <c r="D1124" t="s">
        <v>52</v>
      </c>
      <c r="E1124" t="s">
        <v>102</v>
      </c>
      <c r="F1124" t="s">
        <v>76</v>
      </c>
      <c r="G1124" t="s">
        <v>60</v>
      </c>
      <c r="H1124" t="s">
        <v>32</v>
      </c>
      <c r="I1124" t="s">
        <v>41</v>
      </c>
      <c r="J1124" s="2">
        <v>45291</v>
      </c>
      <c r="K1124" s="2">
        <v>45296</v>
      </c>
      <c r="L1124" s="2">
        <v>45299</v>
      </c>
      <c r="M1124" s="2">
        <v>45303</v>
      </c>
      <c r="N1124" s="2">
        <v>45308</v>
      </c>
      <c r="O1124">
        <v>1</v>
      </c>
      <c r="P1124">
        <v>0</v>
      </c>
      <c r="Q1124">
        <v>0</v>
      </c>
      <c r="R1124">
        <v>0</v>
      </c>
      <c r="S1124">
        <v>0</v>
      </c>
      <c r="T1124" t="s">
        <v>34</v>
      </c>
      <c r="U1124">
        <v>73</v>
      </c>
      <c r="W1124">
        <v>2</v>
      </c>
    </row>
    <row r="1125" spans="1:25">
      <c r="A1125" s="1" t="s">
        <v>1194</v>
      </c>
      <c r="B1125" t="s">
        <v>43</v>
      </c>
      <c r="C1125" t="s">
        <v>27</v>
      </c>
      <c r="D1125" t="s">
        <v>52</v>
      </c>
      <c r="E1125" t="s">
        <v>102</v>
      </c>
      <c r="F1125" t="s">
        <v>30</v>
      </c>
      <c r="G1125" t="s">
        <v>31</v>
      </c>
      <c r="H1125" t="s">
        <v>32</v>
      </c>
      <c r="I1125" t="s">
        <v>41</v>
      </c>
      <c r="J1125" s="2">
        <v>45397</v>
      </c>
      <c r="K1125" s="2">
        <v>45402</v>
      </c>
      <c r="L1125" s="2">
        <v>45407</v>
      </c>
      <c r="M1125" s="2">
        <v>45414</v>
      </c>
      <c r="N1125" s="2">
        <v>45421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74</v>
      </c>
      <c r="U1125">
        <v>55</v>
      </c>
      <c r="W1125">
        <v>2</v>
      </c>
    </row>
    <row r="1126" spans="1:25">
      <c r="A1126" s="1" t="s">
        <v>1195</v>
      </c>
      <c r="B1126" t="s">
        <v>70</v>
      </c>
      <c r="C1126" t="s">
        <v>37</v>
      </c>
      <c r="D1126" t="s">
        <v>44</v>
      </c>
      <c r="E1126" t="s">
        <v>66</v>
      </c>
      <c r="F1126" t="s">
        <v>67</v>
      </c>
      <c r="G1126" t="s">
        <v>45</v>
      </c>
      <c r="H1126" t="s">
        <v>32</v>
      </c>
      <c r="I1126" t="s">
        <v>33</v>
      </c>
      <c r="J1126" s="2">
        <v>45327</v>
      </c>
      <c r="K1126" s="2">
        <v>45331</v>
      </c>
      <c r="L1126" s="2">
        <v>45338</v>
      </c>
      <c r="M1126" s="2">
        <v>45342</v>
      </c>
      <c r="N1126" s="2">
        <v>45358</v>
      </c>
      <c r="O1126">
        <v>1</v>
      </c>
      <c r="P1126">
        <v>1</v>
      </c>
      <c r="Q1126">
        <v>1</v>
      </c>
      <c r="R1126">
        <v>1</v>
      </c>
      <c r="S1126">
        <v>0</v>
      </c>
      <c r="T1126" t="s">
        <v>61</v>
      </c>
      <c r="U1126">
        <v>65</v>
      </c>
      <c r="V1126">
        <v>31</v>
      </c>
      <c r="W1126">
        <v>2</v>
      </c>
      <c r="X1126">
        <v>617249</v>
      </c>
    </row>
    <row r="1127" spans="1:25">
      <c r="A1127" s="1" t="s">
        <v>1196</v>
      </c>
      <c r="B1127" t="s">
        <v>43</v>
      </c>
      <c r="C1127" t="s">
        <v>78</v>
      </c>
      <c r="D1127" t="s">
        <v>52</v>
      </c>
      <c r="E1127" t="s">
        <v>54</v>
      </c>
      <c r="F1127" t="s">
        <v>30</v>
      </c>
      <c r="G1127" t="s">
        <v>55</v>
      </c>
      <c r="H1127" t="s">
        <v>40</v>
      </c>
      <c r="I1127" t="s">
        <v>33</v>
      </c>
      <c r="J1127" s="2">
        <v>44953</v>
      </c>
      <c r="K1127" s="2">
        <v>44955</v>
      </c>
      <c r="L1127" s="2">
        <v>44960</v>
      </c>
      <c r="M1127" s="2">
        <v>44965</v>
      </c>
      <c r="N1127" s="2">
        <v>44979</v>
      </c>
      <c r="O1127">
        <v>1</v>
      </c>
      <c r="P1127">
        <v>1</v>
      </c>
      <c r="Q1127">
        <v>0</v>
      </c>
      <c r="R1127">
        <v>0</v>
      </c>
      <c r="S1127">
        <v>0</v>
      </c>
      <c r="T1127" t="s">
        <v>34</v>
      </c>
      <c r="U1127">
        <v>80</v>
      </c>
      <c r="W1127">
        <v>6</v>
      </c>
    </row>
    <row r="1128" spans="1:25">
      <c r="A1128" s="1" t="s">
        <v>1197</v>
      </c>
      <c r="B1128" t="s">
        <v>70</v>
      </c>
      <c r="C1128" t="s">
        <v>37</v>
      </c>
      <c r="D1128" t="s">
        <v>73</v>
      </c>
      <c r="E1128" t="s">
        <v>54</v>
      </c>
      <c r="F1128" t="s">
        <v>38</v>
      </c>
      <c r="G1128" t="s">
        <v>55</v>
      </c>
      <c r="H1128" t="s">
        <v>32</v>
      </c>
      <c r="I1128" t="s">
        <v>41</v>
      </c>
      <c r="J1128" s="2">
        <v>45049</v>
      </c>
      <c r="K1128" s="2">
        <v>45053</v>
      </c>
      <c r="L1128" s="2">
        <v>45059</v>
      </c>
      <c r="M1128" s="2">
        <v>45065</v>
      </c>
      <c r="N1128" s="2">
        <v>45076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74</v>
      </c>
      <c r="U1128">
        <v>55</v>
      </c>
      <c r="W1128">
        <v>2</v>
      </c>
    </row>
    <row r="1129" spans="1:25">
      <c r="A1129" s="1" t="s">
        <v>1198</v>
      </c>
      <c r="B1129" t="s">
        <v>26</v>
      </c>
      <c r="C1129" t="s">
        <v>47</v>
      </c>
      <c r="D1129" t="s">
        <v>52</v>
      </c>
      <c r="E1129" t="s">
        <v>29</v>
      </c>
      <c r="F1129" t="s">
        <v>48</v>
      </c>
      <c r="G1129" t="s">
        <v>60</v>
      </c>
      <c r="H1129" t="s">
        <v>40</v>
      </c>
      <c r="I1129" t="s">
        <v>33</v>
      </c>
      <c r="J1129" s="2">
        <v>45135</v>
      </c>
      <c r="K1129" s="2">
        <v>45138</v>
      </c>
      <c r="L1129" s="2">
        <v>45148</v>
      </c>
      <c r="M1129" s="2">
        <v>45152</v>
      </c>
      <c r="N1129" s="2">
        <v>45159</v>
      </c>
      <c r="O1129">
        <v>1</v>
      </c>
      <c r="P1129">
        <v>0</v>
      </c>
      <c r="Q1129">
        <v>0</v>
      </c>
      <c r="R1129">
        <v>0</v>
      </c>
      <c r="S1129">
        <v>0</v>
      </c>
      <c r="T1129" t="s">
        <v>34</v>
      </c>
      <c r="U1129">
        <v>64</v>
      </c>
      <c r="W1129">
        <v>9</v>
      </c>
    </row>
    <row r="1130" spans="1:25">
      <c r="A1130" s="1" t="s">
        <v>1199</v>
      </c>
      <c r="B1130" t="s">
        <v>58</v>
      </c>
      <c r="C1130" t="s">
        <v>47</v>
      </c>
      <c r="D1130" t="s">
        <v>59</v>
      </c>
      <c r="E1130" t="s">
        <v>102</v>
      </c>
      <c r="F1130" t="s">
        <v>67</v>
      </c>
      <c r="G1130" t="s">
        <v>45</v>
      </c>
      <c r="H1130" t="s">
        <v>40</v>
      </c>
      <c r="I1130" t="s">
        <v>41</v>
      </c>
      <c r="J1130" s="2">
        <v>45074</v>
      </c>
      <c r="K1130" s="2">
        <v>45076</v>
      </c>
      <c r="L1130" s="2">
        <v>45083</v>
      </c>
      <c r="M1130" s="2">
        <v>45086</v>
      </c>
      <c r="N1130" s="2">
        <v>45088</v>
      </c>
      <c r="O1130">
        <v>1</v>
      </c>
      <c r="P1130">
        <v>1</v>
      </c>
      <c r="Q1130">
        <v>1</v>
      </c>
      <c r="R1130">
        <v>0</v>
      </c>
      <c r="S1130">
        <v>0</v>
      </c>
      <c r="T1130" t="s">
        <v>49</v>
      </c>
      <c r="U1130">
        <v>45</v>
      </c>
      <c r="W1130">
        <v>14</v>
      </c>
      <c r="X1130">
        <v>2245910</v>
      </c>
      <c r="Y1130" t="s">
        <v>50</v>
      </c>
    </row>
    <row r="1131" spans="1:25">
      <c r="A1131" s="1" t="s">
        <v>1200</v>
      </c>
      <c r="B1131" t="s">
        <v>70</v>
      </c>
      <c r="C1131" t="s">
        <v>71</v>
      </c>
      <c r="D1131" t="s">
        <v>28</v>
      </c>
      <c r="E1131" t="s">
        <v>66</v>
      </c>
      <c r="F1131" t="s">
        <v>38</v>
      </c>
      <c r="G1131" t="s">
        <v>45</v>
      </c>
      <c r="H1131" t="s">
        <v>56</v>
      </c>
      <c r="I1131" t="s">
        <v>41</v>
      </c>
      <c r="J1131" s="2">
        <v>45369</v>
      </c>
      <c r="K1131" s="2">
        <v>45370</v>
      </c>
      <c r="L1131" s="2">
        <v>45379</v>
      </c>
      <c r="M1131" s="2">
        <v>45381</v>
      </c>
      <c r="N1131" s="2">
        <v>45390</v>
      </c>
      <c r="O1131">
        <v>1</v>
      </c>
      <c r="P1131">
        <v>0</v>
      </c>
      <c r="Q1131">
        <v>0</v>
      </c>
      <c r="R1131">
        <v>0</v>
      </c>
      <c r="S1131">
        <v>0</v>
      </c>
      <c r="T1131" t="s">
        <v>34</v>
      </c>
      <c r="U1131">
        <v>60</v>
      </c>
      <c r="W1131">
        <v>6</v>
      </c>
    </row>
    <row r="1132" spans="1:25">
      <c r="A1132" s="1" t="s">
        <v>1201</v>
      </c>
      <c r="B1132" t="s">
        <v>26</v>
      </c>
      <c r="C1132" t="s">
        <v>27</v>
      </c>
      <c r="D1132" t="s">
        <v>44</v>
      </c>
      <c r="E1132" t="s">
        <v>54</v>
      </c>
      <c r="F1132" t="s">
        <v>38</v>
      </c>
      <c r="G1132" t="s">
        <v>31</v>
      </c>
      <c r="H1132" t="s">
        <v>56</v>
      </c>
      <c r="I1132" t="s">
        <v>33</v>
      </c>
      <c r="J1132" s="2">
        <v>45084</v>
      </c>
      <c r="K1132" s="2">
        <v>45087</v>
      </c>
      <c r="L1132" s="2">
        <v>45093</v>
      </c>
      <c r="M1132" s="2">
        <v>45099</v>
      </c>
      <c r="N1132" s="2">
        <v>45105</v>
      </c>
      <c r="O1132">
        <v>1</v>
      </c>
      <c r="P1132">
        <v>1</v>
      </c>
      <c r="Q1132">
        <v>1</v>
      </c>
      <c r="R1132">
        <v>1</v>
      </c>
      <c r="S1132">
        <v>0</v>
      </c>
      <c r="T1132" t="s">
        <v>61</v>
      </c>
      <c r="U1132">
        <v>90</v>
      </c>
      <c r="V1132">
        <v>21</v>
      </c>
      <c r="W1132">
        <v>0</v>
      </c>
      <c r="X1132">
        <v>565283</v>
      </c>
    </row>
    <row r="1133" spans="1:25">
      <c r="A1133" s="1" t="s">
        <v>1202</v>
      </c>
      <c r="B1133" t="s">
        <v>26</v>
      </c>
      <c r="C1133" t="s">
        <v>78</v>
      </c>
      <c r="D1133" t="s">
        <v>28</v>
      </c>
      <c r="E1133" t="s">
        <v>29</v>
      </c>
      <c r="F1133" t="s">
        <v>67</v>
      </c>
      <c r="G1133" t="s">
        <v>39</v>
      </c>
      <c r="H1133" t="s">
        <v>56</v>
      </c>
      <c r="I1133" t="s">
        <v>41</v>
      </c>
      <c r="J1133" s="2">
        <v>45329</v>
      </c>
      <c r="K1133" s="2">
        <v>45333</v>
      </c>
      <c r="L1133" s="2">
        <v>45341</v>
      </c>
      <c r="M1133" s="2">
        <v>45347</v>
      </c>
      <c r="N1133" s="2">
        <v>45344</v>
      </c>
      <c r="O1133">
        <v>1</v>
      </c>
      <c r="P1133">
        <v>0</v>
      </c>
      <c r="Q1133">
        <v>0</v>
      </c>
      <c r="R1133">
        <v>0</v>
      </c>
      <c r="S1133">
        <v>0</v>
      </c>
      <c r="T1133" t="s">
        <v>34</v>
      </c>
      <c r="U1133">
        <v>61</v>
      </c>
      <c r="W1133">
        <v>8</v>
      </c>
    </row>
    <row r="1134" spans="1:25">
      <c r="A1134" s="1" t="s">
        <v>1203</v>
      </c>
      <c r="B1134" t="s">
        <v>90</v>
      </c>
      <c r="C1134" t="s">
        <v>37</v>
      </c>
      <c r="D1134" t="s">
        <v>73</v>
      </c>
      <c r="E1134" t="s">
        <v>102</v>
      </c>
      <c r="F1134" t="s">
        <v>38</v>
      </c>
      <c r="G1134" t="s">
        <v>55</v>
      </c>
      <c r="H1134" t="s">
        <v>40</v>
      </c>
      <c r="I1134" t="s">
        <v>33</v>
      </c>
      <c r="J1134" s="2">
        <v>45152</v>
      </c>
      <c r="K1134" s="2">
        <v>45154</v>
      </c>
      <c r="L1134" s="2">
        <v>45159</v>
      </c>
      <c r="M1134" s="2">
        <v>45162</v>
      </c>
      <c r="N1134" s="2">
        <v>45185</v>
      </c>
      <c r="O1134">
        <v>1</v>
      </c>
      <c r="P1134">
        <v>1</v>
      </c>
      <c r="Q1134">
        <v>1</v>
      </c>
      <c r="R1134">
        <v>0</v>
      </c>
      <c r="S1134">
        <v>0</v>
      </c>
      <c r="T1134" t="s">
        <v>49</v>
      </c>
      <c r="U1134">
        <v>86</v>
      </c>
      <c r="W1134">
        <v>1</v>
      </c>
      <c r="X1134">
        <v>640722</v>
      </c>
      <c r="Y1134" t="s">
        <v>127</v>
      </c>
    </row>
    <row r="1135" spans="1:25">
      <c r="A1135" s="1" t="s">
        <v>1204</v>
      </c>
      <c r="B1135" t="s">
        <v>58</v>
      </c>
      <c r="C1135" t="s">
        <v>78</v>
      </c>
      <c r="D1135" t="s">
        <v>73</v>
      </c>
      <c r="E1135" t="s">
        <v>29</v>
      </c>
      <c r="F1135" t="s">
        <v>48</v>
      </c>
      <c r="G1135" t="s">
        <v>45</v>
      </c>
      <c r="H1135" t="s">
        <v>56</v>
      </c>
      <c r="I1135" t="s">
        <v>33</v>
      </c>
      <c r="J1135" s="2">
        <v>45054</v>
      </c>
      <c r="K1135" s="2">
        <v>45059</v>
      </c>
      <c r="L1135" s="2">
        <v>45069</v>
      </c>
      <c r="M1135" s="2">
        <v>45072</v>
      </c>
      <c r="N1135" s="2">
        <v>45075</v>
      </c>
      <c r="O1135">
        <v>1</v>
      </c>
      <c r="P1135">
        <v>1</v>
      </c>
      <c r="Q1135">
        <v>0</v>
      </c>
      <c r="R1135">
        <v>0</v>
      </c>
      <c r="S1135">
        <v>0</v>
      </c>
      <c r="T1135" t="s">
        <v>34</v>
      </c>
      <c r="U1135">
        <v>47</v>
      </c>
      <c r="W1135">
        <v>7</v>
      </c>
    </row>
    <row r="1136" spans="1:25">
      <c r="A1136" s="1" t="s">
        <v>1205</v>
      </c>
      <c r="B1136" t="s">
        <v>70</v>
      </c>
      <c r="C1136" t="s">
        <v>71</v>
      </c>
      <c r="D1136" t="s">
        <v>44</v>
      </c>
      <c r="E1136" t="s">
        <v>29</v>
      </c>
      <c r="F1136" t="s">
        <v>38</v>
      </c>
      <c r="G1136" t="s">
        <v>55</v>
      </c>
      <c r="H1136" t="s">
        <v>32</v>
      </c>
      <c r="I1136" t="s">
        <v>33</v>
      </c>
      <c r="J1136" s="2">
        <v>45303</v>
      </c>
      <c r="K1136" s="2">
        <v>45307</v>
      </c>
      <c r="L1136" s="2">
        <v>45311</v>
      </c>
      <c r="M1136" s="2">
        <v>45314</v>
      </c>
      <c r="N1136" s="2">
        <v>45332</v>
      </c>
      <c r="O1136">
        <v>1</v>
      </c>
      <c r="P1136">
        <v>1</v>
      </c>
      <c r="Q1136">
        <v>0</v>
      </c>
      <c r="R1136">
        <v>0</v>
      </c>
      <c r="S1136">
        <v>0</v>
      </c>
      <c r="T1136" t="s">
        <v>34</v>
      </c>
      <c r="U1136">
        <v>98</v>
      </c>
      <c r="W1136">
        <v>4</v>
      </c>
    </row>
    <row r="1137" spans="1:25">
      <c r="A1137" s="1" t="s">
        <v>1206</v>
      </c>
      <c r="B1137" t="s">
        <v>43</v>
      </c>
      <c r="C1137" t="s">
        <v>27</v>
      </c>
      <c r="D1137" t="s">
        <v>44</v>
      </c>
      <c r="E1137" t="s">
        <v>66</v>
      </c>
      <c r="F1137" t="s">
        <v>30</v>
      </c>
      <c r="G1137" t="s">
        <v>45</v>
      </c>
      <c r="H1137" t="s">
        <v>40</v>
      </c>
      <c r="I1137" t="s">
        <v>33</v>
      </c>
      <c r="J1137" s="2">
        <v>44955</v>
      </c>
      <c r="K1137" s="2">
        <v>44959</v>
      </c>
      <c r="L1137" s="2">
        <v>44963</v>
      </c>
      <c r="M1137" s="2">
        <v>44967</v>
      </c>
      <c r="N1137" s="2">
        <v>44972</v>
      </c>
      <c r="O1137">
        <v>0</v>
      </c>
      <c r="P1137">
        <v>0</v>
      </c>
      <c r="Q1137">
        <v>0</v>
      </c>
      <c r="R1137">
        <v>0</v>
      </c>
      <c r="S1137">
        <v>1</v>
      </c>
      <c r="T1137" t="s">
        <v>74</v>
      </c>
      <c r="U1137">
        <v>70</v>
      </c>
      <c r="W1137">
        <v>2</v>
      </c>
    </row>
    <row r="1138" spans="1:25">
      <c r="A1138" s="1" t="s">
        <v>1207</v>
      </c>
      <c r="B1138" t="s">
        <v>58</v>
      </c>
      <c r="C1138" t="s">
        <v>37</v>
      </c>
      <c r="D1138" t="s">
        <v>44</v>
      </c>
      <c r="E1138" t="s">
        <v>54</v>
      </c>
      <c r="F1138" t="s">
        <v>48</v>
      </c>
      <c r="G1138" t="s">
        <v>39</v>
      </c>
      <c r="H1138" t="s">
        <v>32</v>
      </c>
      <c r="I1138" t="s">
        <v>33</v>
      </c>
      <c r="J1138" s="2">
        <v>44955</v>
      </c>
      <c r="K1138" s="2">
        <v>44959</v>
      </c>
      <c r="L1138" s="2">
        <v>44968</v>
      </c>
      <c r="M1138" s="2">
        <v>44972</v>
      </c>
      <c r="N1138" s="2">
        <v>44974</v>
      </c>
      <c r="O1138">
        <v>1</v>
      </c>
      <c r="P1138">
        <v>1</v>
      </c>
      <c r="Q1138">
        <v>1</v>
      </c>
      <c r="R1138">
        <v>1</v>
      </c>
      <c r="S1138">
        <v>0</v>
      </c>
      <c r="T1138" t="s">
        <v>61</v>
      </c>
      <c r="U1138">
        <v>63</v>
      </c>
      <c r="V1138">
        <v>19</v>
      </c>
      <c r="W1138">
        <v>2</v>
      </c>
      <c r="X1138">
        <v>701347</v>
      </c>
    </row>
    <row r="1139" spans="1:25">
      <c r="A1139" s="1" t="s">
        <v>1208</v>
      </c>
      <c r="B1139" t="s">
        <v>36</v>
      </c>
      <c r="C1139" t="s">
        <v>37</v>
      </c>
      <c r="D1139" t="s">
        <v>59</v>
      </c>
      <c r="E1139" t="s">
        <v>63</v>
      </c>
      <c r="F1139" t="s">
        <v>48</v>
      </c>
      <c r="G1139" t="s">
        <v>39</v>
      </c>
      <c r="H1139" t="s">
        <v>32</v>
      </c>
      <c r="I1139" t="s">
        <v>33</v>
      </c>
      <c r="J1139" s="2">
        <v>45441</v>
      </c>
      <c r="K1139" s="2">
        <v>45444</v>
      </c>
      <c r="L1139" s="2">
        <v>45452</v>
      </c>
      <c r="M1139" s="2">
        <v>45456</v>
      </c>
      <c r="N1139" s="2">
        <v>45461</v>
      </c>
      <c r="O1139">
        <v>1</v>
      </c>
      <c r="P1139">
        <v>1</v>
      </c>
      <c r="Q1139">
        <v>1</v>
      </c>
      <c r="R1139">
        <v>0</v>
      </c>
      <c r="S1139">
        <v>0</v>
      </c>
      <c r="T1139" t="s">
        <v>49</v>
      </c>
      <c r="U1139">
        <v>98</v>
      </c>
      <c r="W1139">
        <v>2</v>
      </c>
      <c r="X1139">
        <v>505383</v>
      </c>
      <c r="Y1139" t="s">
        <v>80</v>
      </c>
    </row>
    <row r="1140" spans="1:25">
      <c r="A1140" s="1" t="s">
        <v>1209</v>
      </c>
      <c r="B1140" t="s">
        <v>70</v>
      </c>
      <c r="C1140" t="s">
        <v>47</v>
      </c>
      <c r="D1140" t="s">
        <v>44</v>
      </c>
      <c r="E1140" t="s">
        <v>54</v>
      </c>
      <c r="F1140" t="s">
        <v>67</v>
      </c>
      <c r="G1140" t="s">
        <v>31</v>
      </c>
      <c r="H1140" t="s">
        <v>40</v>
      </c>
      <c r="I1140" t="s">
        <v>41</v>
      </c>
      <c r="J1140" s="2">
        <v>45148</v>
      </c>
      <c r="K1140" s="2">
        <v>45151</v>
      </c>
      <c r="L1140" s="2">
        <v>45158</v>
      </c>
      <c r="M1140" s="2">
        <v>45164</v>
      </c>
      <c r="N1140" s="2">
        <v>45185</v>
      </c>
      <c r="O1140">
        <v>1</v>
      </c>
      <c r="P1140">
        <v>1</v>
      </c>
      <c r="Q1140">
        <v>1</v>
      </c>
      <c r="R1140">
        <v>1</v>
      </c>
      <c r="S1140">
        <v>0</v>
      </c>
      <c r="T1140" t="s">
        <v>61</v>
      </c>
      <c r="U1140">
        <v>71</v>
      </c>
      <c r="V1140">
        <v>37</v>
      </c>
      <c r="W1140">
        <v>13</v>
      </c>
      <c r="X1140">
        <v>3009370</v>
      </c>
    </row>
    <row r="1141" spans="1:25">
      <c r="A1141" s="1" t="s">
        <v>1210</v>
      </c>
      <c r="B1141" t="s">
        <v>26</v>
      </c>
      <c r="C1141" t="s">
        <v>78</v>
      </c>
      <c r="D1141" t="s">
        <v>73</v>
      </c>
      <c r="E1141" t="s">
        <v>102</v>
      </c>
      <c r="F1141" t="s">
        <v>76</v>
      </c>
      <c r="G1141" t="s">
        <v>55</v>
      </c>
      <c r="H1141" t="s">
        <v>32</v>
      </c>
      <c r="I1141" t="s">
        <v>41</v>
      </c>
      <c r="J1141" s="2">
        <v>44937</v>
      </c>
      <c r="K1141" s="2">
        <v>44942</v>
      </c>
      <c r="L1141" s="2">
        <v>44949</v>
      </c>
      <c r="M1141" s="2">
        <v>44953</v>
      </c>
      <c r="N1141" s="2">
        <v>44950</v>
      </c>
      <c r="O1141">
        <v>1</v>
      </c>
      <c r="P1141">
        <v>1</v>
      </c>
      <c r="Q1141">
        <v>0</v>
      </c>
      <c r="R1141">
        <v>0</v>
      </c>
      <c r="S1141">
        <v>0</v>
      </c>
      <c r="T1141" t="s">
        <v>34</v>
      </c>
      <c r="U1141">
        <v>53</v>
      </c>
      <c r="W1141">
        <v>7</v>
      </c>
    </row>
    <row r="1142" spans="1:25">
      <c r="A1142" s="1" t="s">
        <v>1211</v>
      </c>
      <c r="B1142" t="s">
        <v>26</v>
      </c>
      <c r="C1142" t="s">
        <v>27</v>
      </c>
      <c r="D1142" t="s">
        <v>59</v>
      </c>
      <c r="E1142" t="s">
        <v>102</v>
      </c>
      <c r="F1142" t="s">
        <v>76</v>
      </c>
      <c r="G1142" t="s">
        <v>31</v>
      </c>
      <c r="H1142" t="s">
        <v>56</v>
      </c>
      <c r="I1142" t="s">
        <v>33</v>
      </c>
      <c r="J1142" s="2">
        <v>45214</v>
      </c>
      <c r="K1142" s="2">
        <v>45217</v>
      </c>
      <c r="L1142" s="2">
        <v>45226</v>
      </c>
      <c r="M1142" s="2">
        <v>45228</v>
      </c>
      <c r="N1142" s="2">
        <v>45239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74</v>
      </c>
      <c r="U1142">
        <v>56</v>
      </c>
      <c r="W1142">
        <v>1</v>
      </c>
    </row>
    <row r="1143" spans="1:25">
      <c r="A1143" s="1" t="s">
        <v>1212</v>
      </c>
      <c r="B1143" t="s">
        <v>43</v>
      </c>
      <c r="C1143" t="s">
        <v>71</v>
      </c>
      <c r="D1143" t="s">
        <v>44</v>
      </c>
      <c r="E1143" t="s">
        <v>29</v>
      </c>
      <c r="F1143" t="s">
        <v>76</v>
      </c>
      <c r="G1143" t="s">
        <v>55</v>
      </c>
      <c r="H1143" t="s">
        <v>40</v>
      </c>
      <c r="I1143" t="s">
        <v>33</v>
      </c>
      <c r="J1143" s="2">
        <v>45419</v>
      </c>
      <c r="K1143" s="2">
        <v>45420</v>
      </c>
      <c r="L1143" s="2">
        <v>45425</v>
      </c>
      <c r="M1143" s="2">
        <v>45429</v>
      </c>
      <c r="N1143" s="2">
        <v>45439</v>
      </c>
      <c r="O1143">
        <v>0</v>
      </c>
      <c r="P1143">
        <v>0</v>
      </c>
      <c r="Q1143">
        <v>0</v>
      </c>
      <c r="R1143">
        <v>0</v>
      </c>
      <c r="S1143">
        <v>0</v>
      </c>
      <c r="T1143" t="s">
        <v>74</v>
      </c>
      <c r="U1143">
        <v>90</v>
      </c>
      <c r="W1143">
        <v>6</v>
      </c>
    </row>
    <row r="1144" spans="1:25">
      <c r="A1144" s="1" t="s">
        <v>1213</v>
      </c>
      <c r="B1144" t="s">
        <v>26</v>
      </c>
      <c r="C1144" t="s">
        <v>47</v>
      </c>
      <c r="D1144" t="s">
        <v>28</v>
      </c>
      <c r="E1144" t="s">
        <v>66</v>
      </c>
      <c r="F1144" t="s">
        <v>30</v>
      </c>
      <c r="G1144" t="s">
        <v>45</v>
      </c>
      <c r="H1144" t="s">
        <v>56</v>
      </c>
      <c r="I1144" t="s">
        <v>33</v>
      </c>
      <c r="J1144" s="2">
        <v>45044</v>
      </c>
      <c r="K1144" s="2">
        <v>45048</v>
      </c>
      <c r="L1144" s="2">
        <v>45058</v>
      </c>
      <c r="M1144" s="2">
        <v>45065</v>
      </c>
      <c r="N1144" s="2">
        <v>45064</v>
      </c>
      <c r="O1144">
        <v>1</v>
      </c>
      <c r="P1144">
        <v>1</v>
      </c>
      <c r="Q1144">
        <v>1</v>
      </c>
      <c r="R1144">
        <v>1</v>
      </c>
      <c r="S1144">
        <v>0</v>
      </c>
      <c r="T1144" t="s">
        <v>61</v>
      </c>
      <c r="U1144">
        <v>92</v>
      </c>
      <c r="V1144">
        <v>20</v>
      </c>
      <c r="W1144">
        <v>8</v>
      </c>
      <c r="X1144">
        <v>2403561</v>
      </c>
    </row>
    <row r="1145" spans="1:25">
      <c r="A1145" s="1" t="s">
        <v>1214</v>
      </c>
      <c r="B1145" t="s">
        <v>36</v>
      </c>
      <c r="C1145" t="s">
        <v>78</v>
      </c>
      <c r="D1145" t="s">
        <v>59</v>
      </c>
      <c r="E1145" t="s">
        <v>63</v>
      </c>
      <c r="F1145" t="s">
        <v>64</v>
      </c>
      <c r="G1145" t="s">
        <v>60</v>
      </c>
      <c r="H1145" t="s">
        <v>40</v>
      </c>
      <c r="I1145" t="s">
        <v>41</v>
      </c>
      <c r="J1145" s="2">
        <v>45107</v>
      </c>
      <c r="K1145" s="2">
        <v>45111</v>
      </c>
      <c r="L1145" s="2">
        <v>45115</v>
      </c>
      <c r="M1145" s="2">
        <v>45118</v>
      </c>
      <c r="N1145" s="2">
        <v>45131</v>
      </c>
      <c r="O1145">
        <v>1</v>
      </c>
      <c r="P1145">
        <v>0</v>
      </c>
      <c r="Q1145">
        <v>0</v>
      </c>
      <c r="R1145">
        <v>0</v>
      </c>
      <c r="S1145">
        <v>0</v>
      </c>
      <c r="T1145" t="s">
        <v>34</v>
      </c>
      <c r="U1145">
        <v>51</v>
      </c>
      <c r="W1145">
        <v>8</v>
      </c>
    </row>
    <row r="1146" spans="1:25">
      <c r="A1146" s="1" t="s">
        <v>1215</v>
      </c>
      <c r="B1146" t="s">
        <v>36</v>
      </c>
      <c r="C1146" t="s">
        <v>37</v>
      </c>
      <c r="D1146" t="s">
        <v>59</v>
      </c>
      <c r="E1146" t="s">
        <v>63</v>
      </c>
      <c r="F1146" t="s">
        <v>30</v>
      </c>
      <c r="G1146" t="s">
        <v>55</v>
      </c>
      <c r="H1146" t="s">
        <v>32</v>
      </c>
      <c r="I1146" t="s">
        <v>41</v>
      </c>
      <c r="J1146" s="2">
        <v>45082</v>
      </c>
      <c r="K1146" s="2">
        <v>45084</v>
      </c>
      <c r="L1146" s="2">
        <v>45093</v>
      </c>
      <c r="M1146" s="2">
        <v>45097</v>
      </c>
      <c r="N1146" s="2">
        <v>45112</v>
      </c>
      <c r="O1146">
        <v>1</v>
      </c>
      <c r="P1146">
        <v>1</v>
      </c>
      <c r="Q1146">
        <v>1</v>
      </c>
      <c r="R1146">
        <v>0</v>
      </c>
      <c r="S1146">
        <v>0</v>
      </c>
      <c r="T1146" t="s">
        <v>49</v>
      </c>
      <c r="U1146">
        <v>64</v>
      </c>
      <c r="W1146">
        <v>3</v>
      </c>
      <c r="X1146">
        <v>536126</v>
      </c>
      <c r="Y1146" t="s">
        <v>87</v>
      </c>
    </row>
    <row r="1147" spans="1:25">
      <c r="A1147" s="1" t="s">
        <v>1216</v>
      </c>
      <c r="B1147" t="s">
        <v>70</v>
      </c>
      <c r="C1147" t="s">
        <v>71</v>
      </c>
      <c r="D1147" t="s">
        <v>73</v>
      </c>
      <c r="E1147" t="s">
        <v>63</v>
      </c>
      <c r="F1147" t="s">
        <v>64</v>
      </c>
      <c r="G1147" t="s">
        <v>31</v>
      </c>
      <c r="H1147" t="s">
        <v>32</v>
      </c>
      <c r="I1147" t="s">
        <v>33</v>
      </c>
      <c r="J1147" s="2">
        <v>45350</v>
      </c>
      <c r="K1147" s="2">
        <v>45355</v>
      </c>
      <c r="L1147" s="2">
        <v>45358</v>
      </c>
      <c r="M1147" s="2">
        <v>45364</v>
      </c>
      <c r="N1147" s="2">
        <v>45383</v>
      </c>
      <c r="O1147">
        <v>1</v>
      </c>
      <c r="P1147">
        <v>1</v>
      </c>
      <c r="Q1147">
        <v>1</v>
      </c>
      <c r="R1147">
        <v>0</v>
      </c>
      <c r="S1147">
        <v>0</v>
      </c>
      <c r="T1147" t="s">
        <v>49</v>
      </c>
      <c r="U1147">
        <v>78</v>
      </c>
      <c r="W1147">
        <v>4</v>
      </c>
      <c r="X1147">
        <v>1265933</v>
      </c>
      <c r="Y1147" t="s">
        <v>68</v>
      </c>
    </row>
    <row r="1148" spans="1:25">
      <c r="A1148" s="1" t="s">
        <v>1217</v>
      </c>
      <c r="B1148" t="s">
        <v>43</v>
      </c>
      <c r="C1148" t="s">
        <v>78</v>
      </c>
      <c r="D1148" t="s">
        <v>73</v>
      </c>
      <c r="E1148" t="s">
        <v>63</v>
      </c>
      <c r="F1148" t="s">
        <v>38</v>
      </c>
      <c r="G1148" t="s">
        <v>39</v>
      </c>
      <c r="H1148" t="s">
        <v>56</v>
      </c>
      <c r="I1148" t="s">
        <v>33</v>
      </c>
      <c r="J1148" s="2">
        <v>45209</v>
      </c>
      <c r="K1148" s="2">
        <v>45213</v>
      </c>
      <c r="L1148" s="2">
        <v>45218</v>
      </c>
      <c r="M1148" s="2">
        <v>45220</v>
      </c>
      <c r="N1148" s="2">
        <v>45233</v>
      </c>
      <c r="O1148">
        <v>1</v>
      </c>
      <c r="P1148">
        <v>1</v>
      </c>
      <c r="Q1148">
        <v>1</v>
      </c>
      <c r="R1148">
        <v>1</v>
      </c>
      <c r="S1148">
        <v>0</v>
      </c>
      <c r="T1148" t="s">
        <v>61</v>
      </c>
      <c r="U1148">
        <v>56</v>
      </c>
      <c r="V1148">
        <v>24</v>
      </c>
      <c r="W1148">
        <v>6</v>
      </c>
      <c r="X1148">
        <v>1964158</v>
      </c>
    </row>
    <row r="1149" spans="1:25">
      <c r="A1149" s="1" t="s">
        <v>1218</v>
      </c>
      <c r="B1149" t="s">
        <v>90</v>
      </c>
      <c r="C1149" t="s">
        <v>78</v>
      </c>
      <c r="D1149" t="s">
        <v>52</v>
      </c>
      <c r="E1149" t="s">
        <v>63</v>
      </c>
      <c r="F1149" t="s">
        <v>76</v>
      </c>
      <c r="G1149" t="s">
        <v>39</v>
      </c>
      <c r="H1149" t="s">
        <v>56</v>
      </c>
      <c r="I1149" t="s">
        <v>41</v>
      </c>
      <c r="J1149" s="2">
        <v>45466</v>
      </c>
      <c r="K1149" s="2">
        <v>45468</v>
      </c>
      <c r="L1149" s="2">
        <v>45471</v>
      </c>
      <c r="M1149" s="2">
        <v>45478</v>
      </c>
      <c r="N1149" s="2">
        <v>45492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74</v>
      </c>
      <c r="U1149">
        <v>76</v>
      </c>
      <c r="W1149">
        <v>7</v>
      </c>
    </row>
    <row r="1150" spans="1:25">
      <c r="A1150" s="1" t="s">
        <v>1219</v>
      </c>
      <c r="B1150" t="s">
        <v>70</v>
      </c>
      <c r="C1150" t="s">
        <v>78</v>
      </c>
      <c r="D1150" t="s">
        <v>52</v>
      </c>
      <c r="E1150" t="s">
        <v>63</v>
      </c>
      <c r="F1150" t="s">
        <v>67</v>
      </c>
      <c r="G1150" t="s">
        <v>55</v>
      </c>
      <c r="H1150" t="s">
        <v>56</v>
      </c>
      <c r="I1150" t="s">
        <v>41</v>
      </c>
      <c r="J1150" s="2">
        <v>45189</v>
      </c>
      <c r="K1150" s="2">
        <v>45194</v>
      </c>
      <c r="L1150" s="2">
        <v>45199</v>
      </c>
      <c r="M1150" s="2">
        <v>45206</v>
      </c>
      <c r="N1150" s="2">
        <v>45212</v>
      </c>
      <c r="O1150">
        <v>1</v>
      </c>
      <c r="P1150">
        <v>1</v>
      </c>
      <c r="Q1150">
        <v>0</v>
      </c>
      <c r="R1150">
        <v>0</v>
      </c>
      <c r="S1150">
        <v>0</v>
      </c>
      <c r="T1150" t="s">
        <v>34</v>
      </c>
      <c r="U1150">
        <v>93</v>
      </c>
      <c r="W1150">
        <v>6</v>
      </c>
    </row>
    <row r="1151" spans="1:25">
      <c r="A1151" s="1" t="s">
        <v>1220</v>
      </c>
      <c r="B1151" t="s">
        <v>70</v>
      </c>
      <c r="C1151" t="s">
        <v>71</v>
      </c>
      <c r="D1151" t="s">
        <v>52</v>
      </c>
      <c r="E1151" t="s">
        <v>63</v>
      </c>
      <c r="F1151" t="s">
        <v>67</v>
      </c>
      <c r="G1151" t="s">
        <v>45</v>
      </c>
      <c r="H1151" t="s">
        <v>40</v>
      </c>
      <c r="I1151" t="s">
        <v>41</v>
      </c>
      <c r="J1151" s="2">
        <v>44982</v>
      </c>
      <c r="K1151" s="2">
        <v>44986</v>
      </c>
      <c r="L1151" s="2">
        <v>44996</v>
      </c>
      <c r="M1151" s="2">
        <v>45000</v>
      </c>
      <c r="N1151" s="2">
        <v>45014</v>
      </c>
      <c r="O1151">
        <v>1</v>
      </c>
      <c r="P1151">
        <v>1</v>
      </c>
      <c r="Q1151">
        <v>1</v>
      </c>
      <c r="R1151">
        <v>0</v>
      </c>
      <c r="S1151">
        <v>0</v>
      </c>
      <c r="T1151" t="s">
        <v>49</v>
      </c>
      <c r="U1151">
        <v>78</v>
      </c>
      <c r="W1151">
        <v>4</v>
      </c>
      <c r="X1151">
        <v>1461287</v>
      </c>
      <c r="Y1151" t="s">
        <v>87</v>
      </c>
    </row>
    <row r="1152" spans="1:25">
      <c r="A1152" s="1" t="s">
        <v>1221</v>
      </c>
      <c r="B1152" t="s">
        <v>26</v>
      </c>
      <c r="C1152" t="s">
        <v>27</v>
      </c>
      <c r="D1152" t="s">
        <v>28</v>
      </c>
      <c r="E1152" t="s">
        <v>66</v>
      </c>
      <c r="F1152" t="s">
        <v>76</v>
      </c>
      <c r="G1152" t="s">
        <v>55</v>
      </c>
      <c r="H1152" t="s">
        <v>56</v>
      </c>
      <c r="I1152" t="s">
        <v>33</v>
      </c>
      <c r="J1152" s="2">
        <v>45202</v>
      </c>
      <c r="K1152" s="2">
        <v>45206</v>
      </c>
      <c r="L1152" s="2">
        <v>45211</v>
      </c>
      <c r="M1152" s="2">
        <v>45213</v>
      </c>
      <c r="N1152" s="2">
        <v>45218</v>
      </c>
      <c r="O1152">
        <v>1</v>
      </c>
      <c r="P1152">
        <v>1</v>
      </c>
      <c r="Q1152">
        <v>1</v>
      </c>
      <c r="R1152">
        <v>0</v>
      </c>
      <c r="S1152">
        <v>0</v>
      </c>
      <c r="T1152" t="s">
        <v>49</v>
      </c>
      <c r="U1152">
        <v>45</v>
      </c>
      <c r="W1152">
        <v>1</v>
      </c>
      <c r="X1152">
        <v>455343</v>
      </c>
      <c r="Y1152" t="s">
        <v>50</v>
      </c>
    </row>
    <row r="1153" spans="1:25">
      <c r="A1153" s="1" t="s">
        <v>1222</v>
      </c>
      <c r="B1153" t="s">
        <v>70</v>
      </c>
      <c r="C1153" t="s">
        <v>27</v>
      </c>
      <c r="D1153" t="s">
        <v>52</v>
      </c>
      <c r="E1153" t="s">
        <v>66</v>
      </c>
      <c r="F1153" t="s">
        <v>30</v>
      </c>
      <c r="G1153" t="s">
        <v>60</v>
      </c>
      <c r="H1153" t="s">
        <v>56</v>
      </c>
      <c r="I1153" t="s">
        <v>33</v>
      </c>
      <c r="J1153" s="2">
        <v>44959</v>
      </c>
      <c r="K1153" s="2">
        <v>44960</v>
      </c>
      <c r="L1153" s="2">
        <v>44968</v>
      </c>
      <c r="M1153" s="2">
        <v>44974</v>
      </c>
      <c r="N1153" s="2">
        <v>44983</v>
      </c>
      <c r="O1153">
        <v>1</v>
      </c>
      <c r="P1153">
        <v>1</v>
      </c>
      <c r="Q1153">
        <v>1</v>
      </c>
      <c r="R1153">
        <v>0</v>
      </c>
      <c r="S1153">
        <v>1</v>
      </c>
      <c r="T1153" t="s">
        <v>49</v>
      </c>
      <c r="U1153">
        <v>73</v>
      </c>
      <c r="W1153">
        <v>1</v>
      </c>
      <c r="X1153">
        <v>480630</v>
      </c>
      <c r="Y1153" t="s">
        <v>50</v>
      </c>
    </row>
    <row r="1154" spans="1:25">
      <c r="A1154" s="1" t="s">
        <v>1223</v>
      </c>
      <c r="B1154" t="s">
        <v>70</v>
      </c>
      <c r="C1154" t="s">
        <v>47</v>
      </c>
      <c r="D1154" t="s">
        <v>44</v>
      </c>
      <c r="E1154" t="s">
        <v>29</v>
      </c>
      <c r="F1154" t="s">
        <v>38</v>
      </c>
      <c r="G1154" t="s">
        <v>39</v>
      </c>
      <c r="H1154" t="s">
        <v>32</v>
      </c>
      <c r="I1154" t="s">
        <v>33</v>
      </c>
      <c r="J1154" s="2">
        <v>45469</v>
      </c>
      <c r="K1154" s="2">
        <v>45473</v>
      </c>
      <c r="L1154" s="2">
        <v>45480</v>
      </c>
      <c r="M1154" s="2">
        <v>45486</v>
      </c>
      <c r="N1154" s="2">
        <v>45497</v>
      </c>
      <c r="O1154">
        <v>1</v>
      </c>
      <c r="P1154">
        <v>1</v>
      </c>
      <c r="Q1154">
        <v>0</v>
      </c>
      <c r="R1154">
        <v>0</v>
      </c>
      <c r="S1154">
        <v>0</v>
      </c>
      <c r="T1154" t="s">
        <v>34</v>
      </c>
      <c r="U1154">
        <v>74</v>
      </c>
      <c r="W1154">
        <v>13</v>
      </c>
    </row>
    <row r="1155" spans="1:25">
      <c r="A1155" s="1" t="s">
        <v>1224</v>
      </c>
      <c r="B1155" t="s">
        <v>43</v>
      </c>
      <c r="C1155" t="s">
        <v>27</v>
      </c>
      <c r="D1155" t="s">
        <v>44</v>
      </c>
      <c r="E1155" t="s">
        <v>66</v>
      </c>
      <c r="F1155" t="s">
        <v>30</v>
      </c>
      <c r="G1155" t="s">
        <v>60</v>
      </c>
      <c r="H1155" t="s">
        <v>40</v>
      </c>
      <c r="I1155" t="s">
        <v>33</v>
      </c>
      <c r="J1155" s="2">
        <v>45030</v>
      </c>
      <c r="K1155" s="2">
        <v>45034</v>
      </c>
      <c r="L1155" s="2">
        <v>45037</v>
      </c>
      <c r="M1155" s="2">
        <v>45043</v>
      </c>
      <c r="N1155" s="2">
        <v>45046</v>
      </c>
      <c r="O1155">
        <v>1</v>
      </c>
      <c r="P1155">
        <v>1</v>
      </c>
      <c r="Q1155">
        <v>1</v>
      </c>
      <c r="R1155">
        <v>1</v>
      </c>
      <c r="S1155">
        <v>0</v>
      </c>
      <c r="T1155" t="s">
        <v>61</v>
      </c>
      <c r="U1155">
        <v>88</v>
      </c>
      <c r="V1155">
        <v>16</v>
      </c>
      <c r="W1155">
        <v>2</v>
      </c>
      <c r="X1155">
        <v>482564</v>
      </c>
    </row>
    <row r="1156" spans="1:25">
      <c r="A1156" s="1" t="s">
        <v>1225</v>
      </c>
      <c r="B1156" t="s">
        <v>36</v>
      </c>
      <c r="C1156" t="s">
        <v>47</v>
      </c>
      <c r="D1156" t="s">
        <v>44</v>
      </c>
      <c r="E1156" t="s">
        <v>102</v>
      </c>
      <c r="F1156" t="s">
        <v>48</v>
      </c>
      <c r="G1156" t="s">
        <v>55</v>
      </c>
      <c r="H1156" t="s">
        <v>56</v>
      </c>
      <c r="I1156" t="s">
        <v>33</v>
      </c>
      <c r="J1156" s="2">
        <v>45207</v>
      </c>
      <c r="K1156" s="2">
        <v>45210</v>
      </c>
      <c r="L1156" s="2">
        <v>45220</v>
      </c>
      <c r="M1156" s="2">
        <v>45225</v>
      </c>
      <c r="N1156" s="2">
        <v>45235</v>
      </c>
      <c r="O1156">
        <v>1</v>
      </c>
      <c r="P1156">
        <v>0</v>
      </c>
      <c r="Q1156">
        <v>0</v>
      </c>
      <c r="R1156">
        <v>0</v>
      </c>
      <c r="S1156">
        <v>0</v>
      </c>
      <c r="T1156" t="s">
        <v>34</v>
      </c>
      <c r="U1156">
        <v>47</v>
      </c>
      <c r="W1156">
        <v>10</v>
      </c>
    </row>
    <row r="1157" spans="1:25">
      <c r="A1157" s="1" t="s">
        <v>1226</v>
      </c>
      <c r="B1157" t="s">
        <v>58</v>
      </c>
      <c r="C1157" t="s">
        <v>47</v>
      </c>
      <c r="D1157" t="s">
        <v>52</v>
      </c>
      <c r="E1157" t="s">
        <v>66</v>
      </c>
      <c r="F1157" t="s">
        <v>38</v>
      </c>
      <c r="G1157" t="s">
        <v>39</v>
      </c>
      <c r="H1157" t="s">
        <v>40</v>
      </c>
      <c r="I1157" t="s">
        <v>41</v>
      </c>
      <c r="J1157" s="2">
        <v>45259</v>
      </c>
      <c r="K1157" s="2">
        <v>45261</v>
      </c>
      <c r="L1157" s="2">
        <v>45267</v>
      </c>
      <c r="M1157" s="2">
        <v>45273</v>
      </c>
      <c r="N1157" s="2">
        <v>45281</v>
      </c>
      <c r="O1157">
        <v>1</v>
      </c>
      <c r="P1157">
        <v>0</v>
      </c>
      <c r="Q1157">
        <v>0</v>
      </c>
      <c r="R1157">
        <v>0</v>
      </c>
      <c r="S1157">
        <v>0</v>
      </c>
      <c r="T1157" t="s">
        <v>34</v>
      </c>
      <c r="U1157">
        <v>60</v>
      </c>
      <c r="W1157">
        <v>10</v>
      </c>
    </row>
    <row r="1158" spans="1:25">
      <c r="A1158" s="1" t="s">
        <v>1227</v>
      </c>
      <c r="B1158" t="s">
        <v>70</v>
      </c>
      <c r="C1158" t="s">
        <v>78</v>
      </c>
      <c r="D1158" t="s">
        <v>28</v>
      </c>
      <c r="E1158" t="s">
        <v>29</v>
      </c>
      <c r="F1158" t="s">
        <v>48</v>
      </c>
      <c r="G1158" t="s">
        <v>31</v>
      </c>
      <c r="H1158" t="s">
        <v>40</v>
      </c>
      <c r="I1158" t="s">
        <v>33</v>
      </c>
      <c r="J1158" s="2">
        <v>45385</v>
      </c>
      <c r="K1158" s="2">
        <v>45388</v>
      </c>
      <c r="L1158" s="2">
        <v>45394</v>
      </c>
      <c r="M1158" s="2">
        <v>45397</v>
      </c>
      <c r="N1158" s="2">
        <v>45412</v>
      </c>
      <c r="O1158">
        <v>1</v>
      </c>
      <c r="P1158">
        <v>0</v>
      </c>
      <c r="Q1158">
        <v>0</v>
      </c>
      <c r="R1158">
        <v>0</v>
      </c>
      <c r="S1158">
        <v>0</v>
      </c>
      <c r="T1158" t="s">
        <v>34</v>
      </c>
      <c r="U1158">
        <v>74</v>
      </c>
      <c r="W1158">
        <v>6</v>
      </c>
    </row>
    <row r="1159" spans="1:25">
      <c r="A1159" s="1" t="s">
        <v>1228</v>
      </c>
      <c r="B1159" t="s">
        <v>70</v>
      </c>
      <c r="C1159" t="s">
        <v>27</v>
      </c>
      <c r="D1159" t="s">
        <v>73</v>
      </c>
      <c r="E1159" t="s">
        <v>29</v>
      </c>
      <c r="F1159" t="s">
        <v>76</v>
      </c>
      <c r="G1159" t="s">
        <v>60</v>
      </c>
      <c r="H1159" t="s">
        <v>32</v>
      </c>
      <c r="I1159" t="s">
        <v>41</v>
      </c>
      <c r="J1159" s="2">
        <v>45413</v>
      </c>
      <c r="K1159" s="2">
        <v>45418</v>
      </c>
      <c r="L1159" s="2">
        <v>45423</v>
      </c>
      <c r="M1159" s="2">
        <v>45429</v>
      </c>
      <c r="N1159" s="2">
        <v>45434</v>
      </c>
      <c r="O1159">
        <v>1</v>
      </c>
      <c r="P1159">
        <v>0</v>
      </c>
      <c r="Q1159">
        <v>0</v>
      </c>
      <c r="R1159">
        <v>0</v>
      </c>
      <c r="S1159">
        <v>0</v>
      </c>
      <c r="T1159" t="s">
        <v>34</v>
      </c>
      <c r="U1159">
        <v>55</v>
      </c>
      <c r="W1159">
        <v>2</v>
      </c>
    </row>
    <row r="1160" spans="1:25">
      <c r="A1160" s="1" t="s">
        <v>1229</v>
      </c>
      <c r="B1160" t="s">
        <v>43</v>
      </c>
      <c r="C1160" t="s">
        <v>37</v>
      </c>
      <c r="D1160" t="s">
        <v>44</v>
      </c>
      <c r="E1160" t="s">
        <v>66</v>
      </c>
      <c r="F1160" t="s">
        <v>67</v>
      </c>
      <c r="G1160" t="s">
        <v>60</v>
      </c>
      <c r="H1160" t="s">
        <v>40</v>
      </c>
      <c r="I1160" t="s">
        <v>41</v>
      </c>
      <c r="J1160" s="2">
        <v>45416</v>
      </c>
      <c r="K1160" s="2">
        <v>45418</v>
      </c>
      <c r="L1160" s="2">
        <v>45422</v>
      </c>
      <c r="M1160" s="2">
        <v>45426</v>
      </c>
      <c r="N1160" s="2">
        <v>45440</v>
      </c>
      <c r="O1160">
        <v>1</v>
      </c>
      <c r="P1160">
        <v>1</v>
      </c>
      <c r="Q1160">
        <v>1</v>
      </c>
      <c r="R1160">
        <v>0</v>
      </c>
      <c r="S1160">
        <v>0</v>
      </c>
      <c r="T1160" t="s">
        <v>49</v>
      </c>
      <c r="U1160">
        <v>79</v>
      </c>
      <c r="W1160">
        <v>3</v>
      </c>
      <c r="X1160">
        <v>593206</v>
      </c>
      <c r="Y1160" t="s">
        <v>50</v>
      </c>
    </row>
    <row r="1161" spans="1:25">
      <c r="A1161" s="1" t="s">
        <v>1230</v>
      </c>
      <c r="B1161" t="s">
        <v>70</v>
      </c>
      <c r="C1161" t="s">
        <v>27</v>
      </c>
      <c r="D1161" t="s">
        <v>52</v>
      </c>
      <c r="E1161" t="s">
        <v>66</v>
      </c>
      <c r="F1161" t="s">
        <v>48</v>
      </c>
      <c r="G1161" t="s">
        <v>31</v>
      </c>
      <c r="H1161" t="s">
        <v>32</v>
      </c>
      <c r="I1161" t="s">
        <v>41</v>
      </c>
      <c r="J1161" s="2">
        <v>45143</v>
      </c>
      <c r="K1161" s="2">
        <v>45147</v>
      </c>
      <c r="L1161" s="2">
        <v>45156</v>
      </c>
      <c r="M1161" s="2">
        <v>45158</v>
      </c>
      <c r="N1161" s="2">
        <v>45165</v>
      </c>
      <c r="O1161">
        <v>1</v>
      </c>
      <c r="P1161">
        <v>1</v>
      </c>
      <c r="Q1161">
        <v>1</v>
      </c>
      <c r="R1161">
        <v>0</v>
      </c>
      <c r="S1161">
        <v>1</v>
      </c>
      <c r="T1161" t="s">
        <v>49</v>
      </c>
      <c r="U1161">
        <v>100</v>
      </c>
      <c r="W1161">
        <v>1</v>
      </c>
      <c r="X1161">
        <v>418769</v>
      </c>
      <c r="Y1161" t="s">
        <v>50</v>
      </c>
    </row>
    <row r="1162" spans="1:25">
      <c r="A1162" s="1" t="s">
        <v>1231</v>
      </c>
      <c r="B1162" t="s">
        <v>70</v>
      </c>
      <c r="C1162" t="s">
        <v>71</v>
      </c>
      <c r="D1162" t="s">
        <v>59</v>
      </c>
      <c r="E1162" t="s">
        <v>54</v>
      </c>
      <c r="F1162" t="s">
        <v>67</v>
      </c>
      <c r="G1162" t="s">
        <v>39</v>
      </c>
      <c r="H1162" t="s">
        <v>56</v>
      </c>
      <c r="I1162" t="s">
        <v>33</v>
      </c>
      <c r="J1162" s="2">
        <v>44961</v>
      </c>
      <c r="K1162" s="2">
        <v>44962</v>
      </c>
      <c r="L1162" s="2">
        <v>44968</v>
      </c>
      <c r="M1162" s="2">
        <v>44974</v>
      </c>
      <c r="N1162" s="2">
        <v>44999</v>
      </c>
      <c r="O1162">
        <v>1</v>
      </c>
      <c r="P1162">
        <v>0</v>
      </c>
      <c r="Q1162">
        <v>0</v>
      </c>
      <c r="R1162">
        <v>0</v>
      </c>
      <c r="S1162">
        <v>0</v>
      </c>
      <c r="T1162" t="s">
        <v>34</v>
      </c>
      <c r="U1162">
        <v>75</v>
      </c>
      <c r="W1162">
        <v>7</v>
      </c>
    </row>
    <row r="1163" spans="1:25">
      <c r="A1163" s="1" t="s">
        <v>1232</v>
      </c>
      <c r="B1163" t="s">
        <v>26</v>
      </c>
      <c r="C1163" t="s">
        <v>27</v>
      </c>
      <c r="D1163" t="s">
        <v>52</v>
      </c>
      <c r="E1163" t="s">
        <v>102</v>
      </c>
      <c r="F1163" t="s">
        <v>67</v>
      </c>
      <c r="G1163" t="s">
        <v>39</v>
      </c>
      <c r="H1163" t="s">
        <v>32</v>
      </c>
      <c r="I1163" t="s">
        <v>41</v>
      </c>
      <c r="J1163" s="2">
        <v>45290</v>
      </c>
      <c r="K1163" s="2">
        <v>45291</v>
      </c>
      <c r="L1163" s="2">
        <v>45301</v>
      </c>
      <c r="M1163" s="2">
        <v>45305</v>
      </c>
      <c r="N1163" s="2">
        <v>45307</v>
      </c>
      <c r="O1163">
        <v>1</v>
      </c>
      <c r="P1163">
        <v>1</v>
      </c>
      <c r="Q1163">
        <v>1</v>
      </c>
      <c r="R1163">
        <v>0</v>
      </c>
      <c r="S1163">
        <v>0</v>
      </c>
      <c r="T1163" t="s">
        <v>49</v>
      </c>
      <c r="U1163">
        <v>77</v>
      </c>
      <c r="W1163">
        <v>2</v>
      </c>
      <c r="X1163">
        <v>685949</v>
      </c>
      <c r="Y1163" t="s">
        <v>87</v>
      </c>
    </row>
    <row r="1164" spans="1:25">
      <c r="A1164" s="1" t="s">
        <v>1233</v>
      </c>
      <c r="B1164" t="s">
        <v>26</v>
      </c>
      <c r="C1164" t="s">
        <v>27</v>
      </c>
      <c r="D1164" t="s">
        <v>52</v>
      </c>
      <c r="E1164" t="s">
        <v>102</v>
      </c>
      <c r="F1164" t="s">
        <v>76</v>
      </c>
      <c r="G1164" t="s">
        <v>45</v>
      </c>
      <c r="H1164" t="s">
        <v>32</v>
      </c>
      <c r="I1164" t="s">
        <v>33</v>
      </c>
      <c r="J1164" s="2">
        <v>45026</v>
      </c>
      <c r="K1164" s="2">
        <v>45031</v>
      </c>
      <c r="L1164" s="2">
        <v>45038</v>
      </c>
      <c r="M1164" s="2">
        <v>45044</v>
      </c>
      <c r="N1164" s="2">
        <v>45045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74</v>
      </c>
      <c r="U1164">
        <v>91</v>
      </c>
      <c r="W1164">
        <v>0</v>
      </c>
    </row>
    <row r="1165" spans="1:25">
      <c r="A1165" s="1" t="s">
        <v>1234</v>
      </c>
      <c r="B1165" t="s">
        <v>70</v>
      </c>
      <c r="C1165" t="s">
        <v>37</v>
      </c>
      <c r="D1165" t="s">
        <v>73</v>
      </c>
      <c r="E1165" t="s">
        <v>63</v>
      </c>
      <c r="F1165" t="s">
        <v>64</v>
      </c>
      <c r="G1165" t="s">
        <v>55</v>
      </c>
      <c r="H1165" t="s">
        <v>40</v>
      </c>
      <c r="I1165" t="s">
        <v>41</v>
      </c>
      <c r="J1165" s="2">
        <v>44974</v>
      </c>
      <c r="K1165" s="2">
        <v>44975</v>
      </c>
      <c r="L1165" s="2">
        <v>44984</v>
      </c>
      <c r="M1165" s="2">
        <v>44988</v>
      </c>
      <c r="N1165" s="2">
        <v>44997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74</v>
      </c>
      <c r="U1165">
        <v>66</v>
      </c>
      <c r="W1165">
        <v>1</v>
      </c>
    </row>
    <row r="1166" spans="1:25">
      <c r="A1166" s="1" t="s">
        <v>1235</v>
      </c>
      <c r="B1166" t="s">
        <v>43</v>
      </c>
      <c r="C1166" t="s">
        <v>78</v>
      </c>
      <c r="D1166" t="s">
        <v>59</v>
      </c>
      <c r="E1166" t="s">
        <v>66</v>
      </c>
      <c r="F1166" t="s">
        <v>38</v>
      </c>
      <c r="G1166" t="s">
        <v>60</v>
      </c>
      <c r="H1166" t="s">
        <v>40</v>
      </c>
      <c r="I1166" t="s">
        <v>33</v>
      </c>
      <c r="J1166" s="2">
        <v>44932</v>
      </c>
      <c r="K1166" s="2">
        <v>44935</v>
      </c>
      <c r="L1166" s="2">
        <v>44945</v>
      </c>
      <c r="M1166" s="2">
        <v>44952</v>
      </c>
      <c r="N1166" s="2">
        <v>44955</v>
      </c>
      <c r="O1166">
        <v>1</v>
      </c>
      <c r="P1166">
        <v>0</v>
      </c>
      <c r="Q1166">
        <v>0</v>
      </c>
      <c r="R1166">
        <v>0</v>
      </c>
      <c r="S1166">
        <v>0</v>
      </c>
      <c r="T1166" t="s">
        <v>34</v>
      </c>
      <c r="U1166">
        <v>47</v>
      </c>
      <c r="W1166">
        <v>9</v>
      </c>
    </row>
    <row r="1167" spans="1:25">
      <c r="A1167" s="1" t="s">
        <v>1236</v>
      </c>
      <c r="B1167" t="s">
        <v>70</v>
      </c>
      <c r="C1167" t="s">
        <v>37</v>
      </c>
      <c r="D1167" t="s">
        <v>44</v>
      </c>
      <c r="E1167" t="s">
        <v>102</v>
      </c>
      <c r="F1167" t="s">
        <v>38</v>
      </c>
      <c r="G1167" t="s">
        <v>39</v>
      </c>
      <c r="H1167" t="s">
        <v>40</v>
      </c>
      <c r="I1167" t="s">
        <v>41</v>
      </c>
      <c r="J1167" s="2">
        <v>45441</v>
      </c>
      <c r="K1167" s="2">
        <v>45446</v>
      </c>
      <c r="L1167" s="2">
        <v>45451</v>
      </c>
      <c r="M1167" s="2">
        <v>45454</v>
      </c>
      <c r="N1167" s="2">
        <v>45463</v>
      </c>
      <c r="O1167">
        <v>1</v>
      </c>
      <c r="P1167">
        <v>1</v>
      </c>
      <c r="Q1167">
        <v>1</v>
      </c>
      <c r="R1167">
        <v>1</v>
      </c>
      <c r="S1167">
        <v>0</v>
      </c>
      <c r="T1167" t="s">
        <v>61</v>
      </c>
      <c r="U1167">
        <v>62</v>
      </c>
      <c r="V1167">
        <v>22</v>
      </c>
      <c r="W1167">
        <v>2</v>
      </c>
      <c r="X1167">
        <v>514022</v>
      </c>
    </row>
    <row r="1168" spans="1:25">
      <c r="A1168" s="1" t="s">
        <v>1237</v>
      </c>
      <c r="B1168" t="s">
        <v>70</v>
      </c>
      <c r="C1168" t="s">
        <v>71</v>
      </c>
      <c r="D1168" t="s">
        <v>44</v>
      </c>
      <c r="E1168" t="s">
        <v>29</v>
      </c>
      <c r="F1168" t="s">
        <v>30</v>
      </c>
      <c r="G1168" t="s">
        <v>55</v>
      </c>
      <c r="H1168" t="s">
        <v>56</v>
      </c>
      <c r="I1168" t="s">
        <v>33</v>
      </c>
      <c r="J1168" s="2">
        <v>45031</v>
      </c>
      <c r="K1168" s="2">
        <v>45034</v>
      </c>
      <c r="L1168" s="2">
        <v>45044</v>
      </c>
      <c r="M1168" s="2">
        <v>45050</v>
      </c>
      <c r="N1168" s="2">
        <v>45060</v>
      </c>
      <c r="O1168">
        <v>1</v>
      </c>
      <c r="P1168">
        <v>1</v>
      </c>
      <c r="Q1168">
        <v>0</v>
      </c>
      <c r="R1168">
        <v>0</v>
      </c>
      <c r="S1168">
        <v>0</v>
      </c>
      <c r="T1168" t="s">
        <v>34</v>
      </c>
      <c r="U1168">
        <v>93</v>
      </c>
      <c r="W1168">
        <v>5</v>
      </c>
    </row>
    <row r="1169" spans="1:25">
      <c r="A1169" s="1" t="s">
        <v>1238</v>
      </c>
      <c r="B1169" t="s">
        <v>43</v>
      </c>
      <c r="C1169" t="s">
        <v>37</v>
      </c>
      <c r="D1169" t="s">
        <v>44</v>
      </c>
      <c r="E1169" t="s">
        <v>54</v>
      </c>
      <c r="F1169" t="s">
        <v>38</v>
      </c>
      <c r="G1169" t="s">
        <v>45</v>
      </c>
      <c r="H1169" t="s">
        <v>40</v>
      </c>
      <c r="I1169" t="s">
        <v>41</v>
      </c>
      <c r="J1169" s="2">
        <v>45172</v>
      </c>
      <c r="K1169" s="2">
        <v>45177</v>
      </c>
      <c r="L1169" s="2">
        <v>45180</v>
      </c>
      <c r="M1169" s="2">
        <v>45183</v>
      </c>
      <c r="N1169" s="2">
        <v>45199</v>
      </c>
      <c r="O1169">
        <v>1</v>
      </c>
      <c r="P1169">
        <v>1</v>
      </c>
      <c r="Q1169">
        <v>1</v>
      </c>
      <c r="R1169">
        <v>1</v>
      </c>
      <c r="S1169">
        <v>0</v>
      </c>
      <c r="T1169" t="s">
        <v>61</v>
      </c>
      <c r="U1169">
        <v>96</v>
      </c>
      <c r="V1169">
        <v>27</v>
      </c>
      <c r="W1169">
        <v>3</v>
      </c>
      <c r="X1169">
        <v>620140</v>
      </c>
    </row>
    <row r="1170" spans="1:25">
      <c r="A1170" s="1" t="s">
        <v>1239</v>
      </c>
      <c r="B1170" t="s">
        <v>70</v>
      </c>
      <c r="C1170" t="s">
        <v>71</v>
      </c>
      <c r="D1170" t="s">
        <v>44</v>
      </c>
      <c r="E1170" t="s">
        <v>63</v>
      </c>
      <c r="F1170" t="s">
        <v>76</v>
      </c>
      <c r="G1170" t="s">
        <v>55</v>
      </c>
      <c r="H1170" t="s">
        <v>40</v>
      </c>
      <c r="I1170" t="s">
        <v>41</v>
      </c>
      <c r="J1170" s="2">
        <v>45028</v>
      </c>
      <c r="K1170" s="2">
        <v>45033</v>
      </c>
      <c r="L1170" s="2">
        <v>45040</v>
      </c>
      <c r="M1170" s="2">
        <v>45044</v>
      </c>
      <c r="N1170" s="2">
        <v>45054</v>
      </c>
      <c r="O1170">
        <v>1</v>
      </c>
      <c r="P1170">
        <v>1</v>
      </c>
      <c r="Q1170">
        <v>0</v>
      </c>
      <c r="R1170">
        <v>0</v>
      </c>
      <c r="S1170">
        <v>0</v>
      </c>
      <c r="T1170" t="s">
        <v>34</v>
      </c>
      <c r="U1170">
        <v>70</v>
      </c>
      <c r="W1170">
        <v>6</v>
      </c>
    </row>
    <row r="1171" spans="1:25">
      <c r="A1171" s="1" t="s">
        <v>1240</v>
      </c>
      <c r="B1171" t="s">
        <v>26</v>
      </c>
      <c r="C1171" t="s">
        <v>47</v>
      </c>
      <c r="D1171" t="s">
        <v>59</v>
      </c>
      <c r="E1171" t="s">
        <v>63</v>
      </c>
      <c r="F1171" t="s">
        <v>67</v>
      </c>
      <c r="G1171" t="s">
        <v>55</v>
      </c>
      <c r="H1171" t="s">
        <v>32</v>
      </c>
      <c r="I1171" t="s">
        <v>41</v>
      </c>
      <c r="J1171" s="2">
        <v>45044</v>
      </c>
      <c r="K1171" s="2">
        <v>45048</v>
      </c>
      <c r="L1171" s="2">
        <v>45054</v>
      </c>
      <c r="M1171" s="2">
        <v>45061</v>
      </c>
      <c r="N1171" s="2">
        <v>45063</v>
      </c>
      <c r="O1171">
        <v>1</v>
      </c>
      <c r="P1171">
        <v>1</v>
      </c>
      <c r="Q1171">
        <v>1</v>
      </c>
      <c r="R1171">
        <v>0</v>
      </c>
      <c r="S1171">
        <v>0</v>
      </c>
      <c r="T1171" t="s">
        <v>49</v>
      </c>
      <c r="U1171">
        <v>80</v>
      </c>
      <c r="W1171">
        <v>14</v>
      </c>
      <c r="X1171">
        <v>2593742</v>
      </c>
      <c r="Y1171" t="s">
        <v>127</v>
      </c>
    </row>
    <row r="1172" spans="1:25">
      <c r="A1172" s="1" t="s">
        <v>1241</v>
      </c>
      <c r="B1172" t="s">
        <v>70</v>
      </c>
      <c r="C1172" t="s">
        <v>37</v>
      </c>
      <c r="D1172" t="s">
        <v>59</v>
      </c>
      <c r="E1172" t="s">
        <v>66</v>
      </c>
      <c r="F1172" t="s">
        <v>64</v>
      </c>
      <c r="G1172" t="s">
        <v>60</v>
      </c>
      <c r="H1172" t="s">
        <v>32</v>
      </c>
      <c r="I1172" t="s">
        <v>41</v>
      </c>
      <c r="J1172" s="2">
        <v>45066</v>
      </c>
      <c r="K1172" s="2">
        <v>45071</v>
      </c>
      <c r="L1172" s="2">
        <v>45075</v>
      </c>
      <c r="M1172" s="2">
        <v>45080</v>
      </c>
      <c r="N1172" s="2">
        <v>45087</v>
      </c>
      <c r="O1172">
        <v>1</v>
      </c>
      <c r="P1172">
        <v>1</v>
      </c>
      <c r="Q1172">
        <v>1</v>
      </c>
      <c r="R1172">
        <v>0</v>
      </c>
      <c r="S1172">
        <v>0</v>
      </c>
      <c r="T1172" t="s">
        <v>49</v>
      </c>
      <c r="U1172">
        <v>92</v>
      </c>
      <c r="W1172">
        <v>2</v>
      </c>
      <c r="X1172">
        <v>704600</v>
      </c>
      <c r="Y1172" t="s">
        <v>87</v>
      </c>
    </row>
    <row r="1173" spans="1:25">
      <c r="A1173" s="1" t="s">
        <v>1242</v>
      </c>
      <c r="B1173" t="s">
        <v>70</v>
      </c>
      <c r="C1173" t="s">
        <v>47</v>
      </c>
      <c r="D1173" t="s">
        <v>59</v>
      </c>
      <c r="E1173" t="s">
        <v>63</v>
      </c>
      <c r="F1173" t="s">
        <v>76</v>
      </c>
      <c r="G1173" t="s">
        <v>45</v>
      </c>
      <c r="H1173" t="s">
        <v>40</v>
      </c>
      <c r="I1173" t="s">
        <v>33</v>
      </c>
      <c r="J1173" s="2">
        <v>45034</v>
      </c>
      <c r="K1173" s="2">
        <v>45039</v>
      </c>
      <c r="L1173" s="2">
        <v>45046</v>
      </c>
      <c r="M1173" s="2">
        <v>45052</v>
      </c>
      <c r="N1173" s="2">
        <v>45061</v>
      </c>
      <c r="O1173">
        <v>1</v>
      </c>
      <c r="P1173">
        <v>1</v>
      </c>
      <c r="Q1173">
        <v>1</v>
      </c>
      <c r="R1173">
        <v>1</v>
      </c>
      <c r="S1173">
        <v>0</v>
      </c>
      <c r="T1173" t="s">
        <v>61</v>
      </c>
      <c r="U1173">
        <v>100</v>
      </c>
      <c r="V1173">
        <v>27</v>
      </c>
      <c r="W1173">
        <v>14</v>
      </c>
      <c r="X1173">
        <v>3163132</v>
      </c>
    </row>
    <row r="1174" spans="1:25">
      <c r="A1174" s="1" t="s">
        <v>1243</v>
      </c>
      <c r="B1174" t="s">
        <v>26</v>
      </c>
      <c r="C1174" t="s">
        <v>27</v>
      </c>
      <c r="D1174" t="s">
        <v>44</v>
      </c>
      <c r="E1174" t="s">
        <v>29</v>
      </c>
      <c r="F1174" t="s">
        <v>64</v>
      </c>
      <c r="G1174" t="s">
        <v>55</v>
      </c>
      <c r="H1174" t="s">
        <v>56</v>
      </c>
      <c r="I1174" t="s">
        <v>41</v>
      </c>
      <c r="J1174" s="2">
        <v>44983</v>
      </c>
      <c r="K1174" s="2">
        <v>44985</v>
      </c>
      <c r="L1174" s="2">
        <v>44990</v>
      </c>
      <c r="M1174" s="2">
        <v>44994</v>
      </c>
      <c r="N1174" s="2">
        <v>45005</v>
      </c>
      <c r="O1174">
        <v>1</v>
      </c>
      <c r="P1174">
        <v>1</v>
      </c>
      <c r="Q1174">
        <v>1</v>
      </c>
      <c r="R1174">
        <v>0</v>
      </c>
      <c r="S1174">
        <v>0</v>
      </c>
      <c r="T1174" t="s">
        <v>49</v>
      </c>
      <c r="U1174">
        <v>88</v>
      </c>
      <c r="W1174">
        <v>2</v>
      </c>
      <c r="X1174">
        <v>550163</v>
      </c>
      <c r="Y1174" t="s">
        <v>50</v>
      </c>
    </row>
    <row r="1175" spans="1:25">
      <c r="A1175" s="1" t="s">
        <v>1244</v>
      </c>
      <c r="B1175" t="s">
        <v>70</v>
      </c>
      <c r="C1175" t="s">
        <v>78</v>
      </c>
      <c r="D1175" t="s">
        <v>44</v>
      </c>
      <c r="E1175" t="s">
        <v>63</v>
      </c>
      <c r="F1175" t="s">
        <v>64</v>
      </c>
      <c r="G1175" t="s">
        <v>31</v>
      </c>
      <c r="H1175" t="s">
        <v>32</v>
      </c>
      <c r="I1175" t="s">
        <v>41</v>
      </c>
      <c r="J1175" s="2">
        <v>45150</v>
      </c>
      <c r="K1175" s="2">
        <v>45151</v>
      </c>
      <c r="L1175" s="2">
        <v>45157</v>
      </c>
      <c r="M1175" s="2">
        <v>45159</v>
      </c>
      <c r="N1175" s="2">
        <v>45179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74</v>
      </c>
      <c r="U1175">
        <v>56</v>
      </c>
      <c r="W1175">
        <v>10</v>
      </c>
    </row>
    <row r="1176" spans="1:25">
      <c r="A1176" s="1" t="s">
        <v>1245</v>
      </c>
      <c r="B1176" t="s">
        <v>36</v>
      </c>
      <c r="C1176" t="s">
        <v>37</v>
      </c>
      <c r="D1176" t="s">
        <v>44</v>
      </c>
      <c r="E1176" t="s">
        <v>63</v>
      </c>
      <c r="F1176" t="s">
        <v>76</v>
      </c>
      <c r="G1176" t="s">
        <v>45</v>
      </c>
      <c r="H1176" t="s">
        <v>32</v>
      </c>
      <c r="I1176" t="s">
        <v>41</v>
      </c>
      <c r="J1176" s="2">
        <v>45448</v>
      </c>
      <c r="K1176" s="2">
        <v>45453</v>
      </c>
      <c r="L1176" s="2">
        <v>45458</v>
      </c>
      <c r="M1176" s="2">
        <v>45465</v>
      </c>
      <c r="N1176" s="2">
        <v>45465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74</v>
      </c>
      <c r="U1176">
        <v>73</v>
      </c>
      <c r="W1176">
        <v>4</v>
      </c>
    </row>
    <row r="1177" spans="1:25">
      <c r="A1177" s="1" t="s">
        <v>1246</v>
      </c>
      <c r="B1177" t="s">
        <v>70</v>
      </c>
      <c r="C1177" t="s">
        <v>37</v>
      </c>
      <c r="D1177" t="s">
        <v>59</v>
      </c>
      <c r="E1177" t="s">
        <v>54</v>
      </c>
      <c r="F1177" t="s">
        <v>48</v>
      </c>
      <c r="G1177" t="s">
        <v>45</v>
      </c>
      <c r="H1177" t="s">
        <v>40</v>
      </c>
      <c r="I1177" t="s">
        <v>33</v>
      </c>
      <c r="J1177" s="2">
        <v>44964</v>
      </c>
      <c r="K1177" s="2">
        <v>44967</v>
      </c>
      <c r="L1177" s="2">
        <v>44971</v>
      </c>
      <c r="M1177" s="2">
        <v>44973</v>
      </c>
      <c r="N1177" s="2">
        <v>45004</v>
      </c>
      <c r="O1177">
        <v>1</v>
      </c>
      <c r="P1177">
        <v>0</v>
      </c>
      <c r="Q1177">
        <v>0</v>
      </c>
      <c r="R1177">
        <v>0</v>
      </c>
      <c r="S1177">
        <v>0</v>
      </c>
      <c r="T1177" t="s">
        <v>34</v>
      </c>
      <c r="U1177">
        <v>45</v>
      </c>
      <c r="W1177">
        <v>2</v>
      </c>
    </row>
    <row r="1178" spans="1:25">
      <c r="A1178" s="1" t="s">
        <v>1247</v>
      </c>
      <c r="B1178" t="s">
        <v>90</v>
      </c>
      <c r="C1178" t="s">
        <v>71</v>
      </c>
      <c r="D1178" t="s">
        <v>59</v>
      </c>
      <c r="E1178" t="s">
        <v>66</v>
      </c>
      <c r="F1178" t="s">
        <v>64</v>
      </c>
      <c r="G1178" t="s">
        <v>45</v>
      </c>
      <c r="H1178" t="s">
        <v>56</v>
      </c>
      <c r="I1178" t="s">
        <v>41</v>
      </c>
      <c r="J1178" s="2">
        <v>44956</v>
      </c>
      <c r="K1178" s="2">
        <v>44960</v>
      </c>
      <c r="L1178" s="2">
        <v>44964</v>
      </c>
      <c r="M1178" s="2">
        <v>44967</v>
      </c>
      <c r="N1178" s="2">
        <v>44978</v>
      </c>
      <c r="O1178">
        <v>1</v>
      </c>
      <c r="P1178">
        <v>1</v>
      </c>
      <c r="Q1178">
        <v>1</v>
      </c>
      <c r="R1178">
        <v>1</v>
      </c>
      <c r="S1178">
        <v>0</v>
      </c>
      <c r="T1178" t="s">
        <v>61</v>
      </c>
      <c r="U1178">
        <v>62</v>
      </c>
      <c r="V1178">
        <v>22</v>
      </c>
      <c r="W1178">
        <v>3</v>
      </c>
      <c r="X1178">
        <v>1402637</v>
      </c>
    </row>
    <row r="1179" spans="1:25">
      <c r="A1179" s="1" t="s">
        <v>1248</v>
      </c>
      <c r="B1179" t="s">
        <v>43</v>
      </c>
      <c r="C1179" t="s">
        <v>71</v>
      </c>
      <c r="D1179" t="s">
        <v>73</v>
      </c>
      <c r="E1179" t="s">
        <v>63</v>
      </c>
      <c r="F1179" t="s">
        <v>48</v>
      </c>
      <c r="G1179" t="s">
        <v>31</v>
      </c>
      <c r="H1179" t="s">
        <v>40</v>
      </c>
      <c r="I1179" t="s">
        <v>41</v>
      </c>
      <c r="J1179" s="2">
        <v>45124</v>
      </c>
      <c r="K1179" s="2">
        <v>45129</v>
      </c>
      <c r="L1179" s="2">
        <v>45132</v>
      </c>
      <c r="M1179" s="2">
        <v>45138</v>
      </c>
      <c r="N1179" s="2">
        <v>45145</v>
      </c>
      <c r="O1179">
        <v>1</v>
      </c>
      <c r="P1179">
        <v>1</v>
      </c>
      <c r="Q1179">
        <v>1</v>
      </c>
      <c r="R1179">
        <v>1</v>
      </c>
      <c r="S1179">
        <v>0</v>
      </c>
      <c r="T1179" t="s">
        <v>61</v>
      </c>
      <c r="U1179">
        <v>86</v>
      </c>
      <c r="V1179">
        <v>21</v>
      </c>
      <c r="W1179">
        <v>4</v>
      </c>
      <c r="X1179">
        <v>1010547</v>
      </c>
    </row>
    <row r="1180" spans="1:25">
      <c r="A1180" s="1" t="s">
        <v>1249</v>
      </c>
      <c r="B1180" t="s">
        <v>70</v>
      </c>
      <c r="C1180" t="s">
        <v>47</v>
      </c>
      <c r="D1180" t="s">
        <v>44</v>
      </c>
      <c r="E1180" t="s">
        <v>63</v>
      </c>
      <c r="F1180" t="s">
        <v>30</v>
      </c>
      <c r="G1180" t="s">
        <v>55</v>
      </c>
      <c r="H1180" t="s">
        <v>56</v>
      </c>
      <c r="I1180" t="s">
        <v>33</v>
      </c>
      <c r="J1180" s="2">
        <v>45340</v>
      </c>
      <c r="K1180" s="2">
        <v>45344</v>
      </c>
      <c r="L1180" s="2">
        <v>45352</v>
      </c>
      <c r="M1180" s="2">
        <v>45356</v>
      </c>
      <c r="N1180" s="2">
        <v>45373</v>
      </c>
      <c r="O1180">
        <v>1</v>
      </c>
      <c r="P1180">
        <v>1</v>
      </c>
      <c r="Q1180">
        <v>0</v>
      </c>
      <c r="R1180">
        <v>0</v>
      </c>
      <c r="S1180">
        <v>0</v>
      </c>
      <c r="T1180" t="s">
        <v>34</v>
      </c>
      <c r="U1180">
        <v>83</v>
      </c>
      <c r="W1180">
        <v>10</v>
      </c>
    </row>
    <row r="1181" spans="1:25">
      <c r="A1181" s="1" t="s">
        <v>1250</v>
      </c>
      <c r="B1181" t="s">
        <v>90</v>
      </c>
      <c r="C1181" t="s">
        <v>78</v>
      </c>
      <c r="D1181" t="s">
        <v>59</v>
      </c>
      <c r="E1181" t="s">
        <v>66</v>
      </c>
      <c r="F1181" t="s">
        <v>76</v>
      </c>
      <c r="G1181" t="s">
        <v>45</v>
      </c>
      <c r="H1181" t="s">
        <v>56</v>
      </c>
      <c r="I1181" t="s">
        <v>41</v>
      </c>
      <c r="J1181" s="2">
        <v>45156</v>
      </c>
      <c r="K1181" s="2">
        <v>45160</v>
      </c>
      <c r="L1181" s="2">
        <v>45168</v>
      </c>
      <c r="M1181" s="2">
        <v>45172</v>
      </c>
      <c r="N1181" s="2">
        <v>45180</v>
      </c>
      <c r="O1181">
        <v>1</v>
      </c>
      <c r="P1181">
        <v>1</v>
      </c>
      <c r="Q1181">
        <v>0</v>
      </c>
      <c r="R1181">
        <v>0</v>
      </c>
      <c r="S1181">
        <v>0</v>
      </c>
      <c r="T1181" t="s">
        <v>34</v>
      </c>
      <c r="U1181">
        <v>81</v>
      </c>
      <c r="W1181">
        <v>6</v>
      </c>
    </row>
    <row r="1182" spans="1:25">
      <c r="A1182" s="1" t="s">
        <v>1251</v>
      </c>
      <c r="B1182" t="s">
        <v>70</v>
      </c>
      <c r="C1182" t="s">
        <v>71</v>
      </c>
      <c r="D1182" t="s">
        <v>73</v>
      </c>
      <c r="E1182" t="s">
        <v>102</v>
      </c>
      <c r="F1182" t="s">
        <v>64</v>
      </c>
      <c r="G1182" t="s">
        <v>31</v>
      </c>
      <c r="H1182" t="s">
        <v>40</v>
      </c>
      <c r="I1182" t="s">
        <v>33</v>
      </c>
      <c r="J1182" s="2">
        <v>45310</v>
      </c>
      <c r="K1182" s="2">
        <v>45315</v>
      </c>
      <c r="L1182" s="2">
        <v>45325</v>
      </c>
      <c r="M1182" s="2">
        <v>45331</v>
      </c>
      <c r="N1182" s="2">
        <v>45344</v>
      </c>
      <c r="O1182">
        <v>1</v>
      </c>
      <c r="P1182">
        <v>1</v>
      </c>
      <c r="Q1182">
        <v>1</v>
      </c>
      <c r="R1182">
        <v>0</v>
      </c>
      <c r="S1182">
        <v>0</v>
      </c>
      <c r="T1182" t="s">
        <v>49</v>
      </c>
      <c r="U1182">
        <v>49</v>
      </c>
      <c r="W1182">
        <v>4</v>
      </c>
      <c r="X1182">
        <v>964209</v>
      </c>
      <c r="Y1182" t="s">
        <v>127</v>
      </c>
    </row>
    <row r="1183" spans="1:25">
      <c r="A1183" s="1" t="s">
        <v>1252</v>
      </c>
      <c r="B1183" t="s">
        <v>58</v>
      </c>
      <c r="C1183" t="s">
        <v>37</v>
      </c>
      <c r="D1183" t="s">
        <v>73</v>
      </c>
      <c r="E1183" t="s">
        <v>54</v>
      </c>
      <c r="F1183" t="s">
        <v>38</v>
      </c>
      <c r="G1183" t="s">
        <v>31</v>
      </c>
      <c r="H1183" t="s">
        <v>32</v>
      </c>
      <c r="I1183" t="s">
        <v>33</v>
      </c>
      <c r="J1183" s="2">
        <v>45189</v>
      </c>
      <c r="K1183" s="2">
        <v>45192</v>
      </c>
      <c r="L1183" s="2">
        <v>45202</v>
      </c>
      <c r="M1183" s="2">
        <v>45204</v>
      </c>
      <c r="N1183" s="2">
        <v>45199</v>
      </c>
      <c r="O1183">
        <v>1</v>
      </c>
      <c r="P1183">
        <v>1</v>
      </c>
      <c r="Q1183">
        <v>1</v>
      </c>
      <c r="R1183">
        <v>0</v>
      </c>
      <c r="S1183">
        <v>0</v>
      </c>
      <c r="T1183" t="s">
        <v>49</v>
      </c>
      <c r="U1183">
        <v>48</v>
      </c>
      <c r="W1183">
        <v>3</v>
      </c>
      <c r="X1183">
        <v>706109</v>
      </c>
      <c r="Y1183" t="s">
        <v>127</v>
      </c>
    </row>
    <row r="1184" spans="1:25">
      <c r="A1184" s="1" t="s">
        <v>1253</v>
      </c>
      <c r="B1184" t="s">
        <v>26</v>
      </c>
      <c r="C1184" t="s">
        <v>37</v>
      </c>
      <c r="D1184" t="s">
        <v>28</v>
      </c>
      <c r="E1184" t="s">
        <v>66</v>
      </c>
      <c r="F1184" t="s">
        <v>64</v>
      </c>
      <c r="G1184" t="s">
        <v>39</v>
      </c>
      <c r="H1184" t="s">
        <v>32</v>
      </c>
      <c r="I1184" t="s">
        <v>33</v>
      </c>
      <c r="J1184" s="2">
        <v>45065</v>
      </c>
      <c r="K1184" s="2">
        <v>45070</v>
      </c>
      <c r="L1184" s="2">
        <v>45077</v>
      </c>
      <c r="M1184" s="2">
        <v>45084</v>
      </c>
      <c r="N1184" s="2">
        <v>45089</v>
      </c>
      <c r="O1184">
        <v>1</v>
      </c>
      <c r="P1184">
        <v>1</v>
      </c>
      <c r="Q1184">
        <v>1</v>
      </c>
      <c r="R1184">
        <v>0</v>
      </c>
      <c r="S1184">
        <v>0</v>
      </c>
      <c r="T1184" t="s">
        <v>49</v>
      </c>
      <c r="U1184">
        <v>99</v>
      </c>
      <c r="W1184">
        <v>3</v>
      </c>
      <c r="X1184">
        <v>561541</v>
      </c>
      <c r="Y1184" t="s">
        <v>127</v>
      </c>
    </row>
    <row r="1185" spans="1:25">
      <c r="A1185" s="1" t="s">
        <v>1254</v>
      </c>
      <c r="B1185" t="s">
        <v>70</v>
      </c>
      <c r="C1185" t="s">
        <v>71</v>
      </c>
      <c r="D1185" t="s">
        <v>28</v>
      </c>
      <c r="E1185" t="s">
        <v>54</v>
      </c>
      <c r="F1185" t="s">
        <v>38</v>
      </c>
      <c r="G1185" t="s">
        <v>55</v>
      </c>
      <c r="H1185" t="s">
        <v>40</v>
      </c>
      <c r="I1185" t="s">
        <v>33</v>
      </c>
      <c r="J1185" s="2">
        <v>45297</v>
      </c>
      <c r="K1185" s="2">
        <v>45301</v>
      </c>
      <c r="L1185" s="2">
        <v>45305</v>
      </c>
      <c r="M1185" s="2">
        <v>45309</v>
      </c>
      <c r="N1185" s="2">
        <v>45318</v>
      </c>
      <c r="O1185">
        <v>1</v>
      </c>
      <c r="P1185">
        <v>1</v>
      </c>
      <c r="Q1185">
        <v>0</v>
      </c>
      <c r="R1185">
        <v>0</v>
      </c>
      <c r="S1185">
        <v>0</v>
      </c>
      <c r="T1185" t="s">
        <v>34</v>
      </c>
      <c r="U1185">
        <v>68</v>
      </c>
      <c r="W1185">
        <v>4</v>
      </c>
    </row>
    <row r="1186" spans="1:25">
      <c r="A1186" s="1" t="s">
        <v>1255</v>
      </c>
      <c r="B1186" t="s">
        <v>58</v>
      </c>
      <c r="C1186" t="s">
        <v>71</v>
      </c>
      <c r="D1186" t="s">
        <v>73</v>
      </c>
      <c r="E1186" t="s">
        <v>66</v>
      </c>
      <c r="F1186" t="s">
        <v>67</v>
      </c>
      <c r="G1186" t="s">
        <v>31</v>
      </c>
      <c r="H1186" t="s">
        <v>56</v>
      </c>
      <c r="I1186" t="s">
        <v>41</v>
      </c>
      <c r="J1186" s="2">
        <v>45271</v>
      </c>
      <c r="K1186" s="2">
        <v>45276</v>
      </c>
      <c r="L1186" s="2">
        <v>45283</v>
      </c>
      <c r="M1186" s="2">
        <v>45288</v>
      </c>
      <c r="N1186" s="2">
        <v>45281</v>
      </c>
      <c r="O1186">
        <v>1</v>
      </c>
      <c r="P1186">
        <v>1</v>
      </c>
      <c r="Q1186">
        <v>1</v>
      </c>
      <c r="R1186">
        <v>1</v>
      </c>
      <c r="S1186">
        <v>0</v>
      </c>
      <c r="T1186" t="s">
        <v>61</v>
      </c>
      <c r="U1186">
        <v>57</v>
      </c>
      <c r="V1186">
        <v>10</v>
      </c>
      <c r="W1186">
        <v>3</v>
      </c>
      <c r="X1186">
        <v>1081354</v>
      </c>
    </row>
    <row r="1187" spans="1:25">
      <c r="A1187" s="1" t="s">
        <v>1256</v>
      </c>
      <c r="B1187" t="s">
        <v>36</v>
      </c>
      <c r="C1187" t="s">
        <v>78</v>
      </c>
      <c r="D1187" t="s">
        <v>52</v>
      </c>
      <c r="E1187" t="s">
        <v>66</v>
      </c>
      <c r="F1187" t="s">
        <v>64</v>
      </c>
      <c r="G1187" t="s">
        <v>45</v>
      </c>
      <c r="H1187" t="s">
        <v>56</v>
      </c>
      <c r="I1187" t="s">
        <v>41</v>
      </c>
      <c r="J1187" s="2">
        <v>45191</v>
      </c>
      <c r="K1187" s="2">
        <v>45192</v>
      </c>
      <c r="L1187" s="2">
        <v>45199</v>
      </c>
      <c r="M1187" s="2">
        <v>45205</v>
      </c>
      <c r="N1187" s="2">
        <v>45210</v>
      </c>
      <c r="O1187">
        <v>1</v>
      </c>
      <c r="P1187">
        <v>1</v>
      </c>
      <c r="Q1187">
        <v>1</v>
      </c>
      <c r="R1187">
        <v>1</v>
      </c>
      <c r="S1187">
        <v>0</v>
      </c>
      <c r="T1187" t="s">
        <v>61</v>
      </c>
      <c r="U1187">
        <v>72</v>
      </c>
      <c r="V1187">
        <v>19</v>
      </c>
      <c r="W1187">
        <v>10</v>
      </c>
      <c r="X1187">
        <v>1926272</v>
      </c>
    </row>
    <row r="1188" spans="1:25">
      <c r="A1188" s="1" t="s">
        <v>1257</v>
      </c>
      <c r="B1188" t="s">
        <v>43</v>
      </c>
      <c r="C1188" t="s">
        <v>47</v>
      </c>
      <c r="D1188" t="s">
        <v>28</v>
      </c>
      <c r="E1188" t="s">
        <v>54</v>
      </c>
      <c r="F1188" t="s">
        <v>76</v>
      </c>
      <c r="G1188" t="s">
        <v>31</v>
      </c>
      <c r="H1188" t="s">
        <v>56</v>
      </c>
      <c r="I1188" t="s">
        <v>41</v>
      </c>
      <c r="J1188" s="2">
        <v>44987</v>
      </c>
      <c r="K1188" s="2">
        <v>44988</v>
      </c>
      <c r="L1188" s="2">
        <v>44996</v>
      </c>
      <c r="M1188" s="2">
        <v>45001</v>
      </c>
      <c r="N1188" s="2">
        <v>45005</v>
      </c>
      <c r="O1188">
        <v>1</v>
      </c>
      <c r="P1188">
        <v>1</v>
      </c>
      <c r="Q1188">
        <v>1</v>
      </c>
      <c r="R1188">
        <v>1</v>
      </c>
      <c r="S1188">
        <v>0</v>
      </c>
      <c r="T1188" t="s">
        <v>61</v>
      </c>
      <c r="U1188">
        <v>48</v>
      </c>
      <c r="V1188">
        <v>18</v>
      </c>
      <c r="W1188">
        <v>11</v>
      </c>
      <c r="X1188">
        <v>2085297</v>
      </c>
    </row>
    <row r="1189" spans="1:25">
      <c r="A1189" s="1" t="s">
        <v>1258</v>
      </c>
      <c r="B1189" t="s">
        <v>36</v>
      </c>
      <c r="C1189" t="s">
        <v>71</v>
      </c>
      <c r="D1189" t="s">
        <v>73</v>
      </c>
      <c r="E1189" t="s">
        <v>102</v>
      </c>
      <c r="F1189" t="s">
        <v>48</v>
      </c>
      <c r="G1189" t="s">
        <v>55</v>
      </c>
      <c r="H1189" t="s">
        <v>32</v>
      </c>
      <c r="I1189" t="s">
        <v>41</v>
      </c>
      <c r="J1189" s="2">
        <v>45115</v>
      </c>
      <c r="K1189" s="2">
        <v>45116</v>
      </c>
      <c r="L1189" s="2">
        <v>45125</v>
      </c>
      <c r="M1189" s="2">
        <v>45129</v>
      </c>
      <c r="N1189" s="2">
        <v>45145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74</v>
      </c>
      <c r="U1189">
        <v>50</v>
      </c>
      <c r="W1189">
        <v>4</v>
      </c>
    </row>
    <row r="1190" spans="1:25">
      <c r="A1190" s="1" t="s">
        <v>1259</v>
      </c>
      <c r="B1190" t="s">
        <v>70</v>
      </c>
      <c r="C1190" t="s">
        <v>47</v>
      </c>
      <c r="D1190" t="s">
        <v>59</v>
      </c>
      <c r="E1190" t="s">
        <v>102</v>
      </c>
      <c r="F1190" t="s">
        <v>48</v>
      </c>
      <c r="G1190" t="s">
        <v>39</v>
      </c>
      <c r="H1190" t="s">
        <v>40</v>
      </c>
      <c r="I1190" t="s">
        <v>33</v>
      </c>
      <c r="J1190" s="2">
        <v>45424</v>
      </c>
      <c r="K1190" s="2">
        <v>45425</v>
      </c>
      <c r="L1190" s="2">
        <v>45432</v>
      </c>
      <c r="M1190" s="2">
        <v>45434</v>
      </c>
      <c r="N1190" s="2">
        <v>45458</v>
      </c>
      <c r="O1190">
        <v>1</v>
      </c>
      <c r="P1190">
        <v>1</v>
      </c>
      <c r="Q1190">
        <v>1</v>
      </c>
      <c r="R1190">
        <v>1</v>
      </c>
      <c r="S1190">
        <v>0</v>
      </c>
      <c r="T1190" t="s">
        <v>61</v>
      </c>
      <c r="U1190">
        <v>98</v>
      </c>
      <c r="V1190">
        <v>34</v>
      </c>
      <c r="W1190">
        <v>13</v>
      </c>
      <c r="X1190">
        <v>2559430</v>
      </c>
    </row>
    <row r="1191" spans="1:25">
      <c r="A1191" s="1" t="s">
        <v>1260</v>
      </c>
      <c r="B1191" t="s">
        <v>26</v>
      </c>
      <c r="C1191" t="s">
        <v>27</v>
      </c>
      <c r="D1191" t="s">
        <v>52</v>
      </c>
      <c r="E1191" t="s">
        <v>66</v>
      </c>
      <c r="F1191" t="s">
        <v>76</v>
      </c>
      <c r="G1191" t="s">
        <v>60</v>
      </c>
      <c r="H1191" t="s">
        <v>32</v>
      </c>
      <c r="I1191" t="s">
        <v>41</v>
      </c>
      <c r="J1191" s="2">
        <v>45400</v>
      </c>
      <c r="K1191" s="2">
        <v>45405</v>
      </c>
      <c r="L1191" s="2">
        <v>45413</v>
      </c>
      <c r="M1191" s="2">
        <v>45416</v>
      </c>
      <c r="N1191" s="2">
        <v>45413</v>
      </c>
      <c r="O1191">
        <v>1</v>
      </c>
      <c r="P1191">
        <v>1</v>
      </c>
      <c r="Q1191">
        <v>1</v>
      </c>
      <c r="R1191">
        <v>0</v>
      </c>
      <c r="S1191">
        <v>0</v>
      </c>
      <c r="T1191" t="s">
        <v>49</v>
      </c>
      <c r="U1191">
        <v>88</v>
      </c>
      <c r="W1191">
        <v>0</v>
      </c>
      <c r="X1191">
        <v>603698</v>
      </c>
      <c r="Y1191" t="s">
        <v>80</v>
      </c>
    </row>
    <row r="1192" spans="1:25">
      <c r="A1192" s="1" t="s">
        <v>1261</v>
      </c>
      <c r="B1192" t="s">
        <v>36</v>
      </c>
      <c r="C1192" t="s">
        <v>78</v>
      </c>
      <c r="D1192" t="s">
        <v>28</v>
      </c>
      <c r="E1192" t="s">
        <v>102</v>
      </c>
      <c r="F1192" t="s">
        <v>76</v>
      </c>
      <c r="G1192" t="s">
        <v>60</v>
      </c>
      <c r="H1192" t="s">
        <v>40</v>
      </c>
      <c r="I1192" t="s">
        <v>33</v>
      </c>
      <c r="J1192" s="2">
        <v>45165</v>
      </c>
      <c r="K1192" s="2">
        <v>45169</v>
      </c>
      <c r="L1192" s="2">
        <v>45179</v>
      </c>
      <c r="M1192" s="2">
        <v>45181</v>
      </c>
      <c r="N1192" s="2">
        <v>45185</v>
      </c>
      <c r="O1192">
        <v>1</v>
      </c>
      <c r="P1192">
        <v>1</v>
      </c>
      <c r="Q1192">
        <v>0</v>
      </c>
      <c r="R1192">
        <v>0</v>
      </c>
      <c r="S1192">
        <v>0</v>
      </c>
      <c r="T1192" t="s">
        <v>34</v>
      </c>
      <c r="U1192">
        <v>67</v>
      </c>
      <c r="W1192">
        <v>9</v>
      </c>
    </row>
    <row r="1193" spans="1:25">
      <c r="A1193" s="1" t="s">
        <v>1262</v>
      </c>
      <c r="B1193" t="s">
        <v>36</v>
      </c>
      <c r="C1193" t="s">
        <v>71</v>
      </c>
      <c r="D1193" t="s">
        <v>44</v>
      </c>
      <c r="E1193" t="s">
        <v>29</v>
      </c>
      <c r="F1193" t="s">
        <v>67</v>
      </c>
      <c r="G1193" t="s">
        <v>39</v>
      </c>
      <c r="H1193" t="s">
        <v>56</v>
      </c>
      <c r="I1193" t="s">
        <v>33</v>
      </c>
      <c r="J1193" s="2">
        <v>45078</v>
      </c>
      <c r="K1193" s="2">
        <v>45081</v>
      </c>
      <c r="L1193" s="2">
        <v>45085</v>
      </c>
      <c r="M1193" s="2">
        <v>45087</v>
      </c>
      <c r="N1193" s="2">
        <v>45102</v>
      </c>
      <c r="O1193">
        <v>1</v>
      </c>
      <c r="P1193">
        <v>1</v>
      </c>
      <c r="Q1193">
        <v>1</v>
      </c>
      <c r="R1193">
        <v>1</v>
      </c>
      <c r="S1193">
        <v>0</v>
      </c>
      <c r="T1193" t="s">
        <v>61</v>
      </c>
      <c r="U1193">
        <v>75</v>
      </c>
      <c r="V1193">
        <v>24</v>
      </c>
      <c r="W1193">
        <v>5</v>
      </c>
      <c r="X1193">
        <v>1135614</v>
      </c>
    </row>
    <row r="1194" spans="1:25">
      <c r="A1194" s="1" t="s">
        <v>1263</v>
      </c>
      <c r="B1194" t="s">
        <v>90</v>
      </c>
      <c r="C1194" t="s">
        <v>78</v>
      </c>
      <c r="D1194" t="s">
        <v>44</v>
      </c>
      <c r="E1194" t="s">
        <v>29</v>
      </c>
      <c r="F1194" t="s">
        <v>38</v>
      </c>
      <c r="G1194" t="s">
        <v>39</v>
      </c>
      <c r="H1194" t="s">
        <v>56</v>
      </c>
      <c r="I1194" t="s">
        <v>33</v>
      </c>
      <c r="J1194" s="2">
        <v>44966</v>
      </c>
      <c r="K1194" s="2">
        <v>44971</v>
      </c>
      <c r="L1194" s="2">
        <v>44975</v>
      </c>
      <c r="M1194" s="2">
        <v>44978</v>
      </c>
      <c r="N1194" s="2">
        <v>44995</v>
      </c>
      <c r="O1194">
        <v>1</v>
      </c>
      <c r="P1194">
        <v>1</v>
      </c>
      <c r="Q1194">
        <v>1</v>
      </c>
      <c r="R1194">
        <v>1</v>
      </c>
      <c r="S1194">
        <v>0</v>
      </c>
      <c r="T1194" t="s">
        <v>61</v>
      </c>
      <c r="U1194">
        <v>91</v>
      </c>
      <c r="V1194">
        <v>29</v>
      </c>
      <c r="W1194">
        <v>6</v>
      </c>
      <c r="X1194">
        <v>1539587</v>
      </c>
    </row>
    <row r="1195" spans="1:25">
      <c r="A1195" s="1" t="s">
        <v>1264</v>
      </c>
      <c r="B1195" t="s">
        <v>36</v>
      </c>
      <c r="C1195" t="s">
        <v>37</v>
      </c>
      <c r="D1195" t="s">
        <v>73</v>
      </c>
      <c r="E1195" t="s">
        <v>29</v>
      </c>
      <c r="F1195" t="s">
        <v>30</v>
      </c>
      <c r="G1195" t="s">
        <v>55</v>
      </c>
      <c r="H1195" t="s">
        <v>56</v>
      </c>
      <c r="I1195" t="s">
        <v>33</v>
      </c>
      <c r="J1195" s="2">
        <v>45350</v>
      </c>
      <c r="K1195" s="2">
        <v>45352</v>
      </c>
      <c r="L1195" s="2">
        <v>45361</v>
      </c>
      <c r="M1195" s="2">
        <v>45363</v>
      </c>
      <c r="N1195" s="2">
        <v>45367</v>
      </c>
      <c r="O1195">
        <v>1</v>
      </c>
      <c r="P1195">
        <v>0</v>
      </c>
      <c r="Q1195">
        <v>0</v>
      </c>
      <c r="R1195">
        <v>0</v>
      </c>
      <c r="S1195">
        <v>1</v>
      </c>
      <c r="T1195" t="s">
        <v>34</v>
      </c>
      <c r="U1195">
        <v>55</v>
      </c>
      <c r="W1195">
        <v>4</v>
      </c>
    </row>
    <row r="1196" spans="1:25">
      <c r="A1196" s="1" t="s">
        <v>1265</v>
      </c>
      <c r="B1196" t="s">
        <v>26</v>
      </c>
      <c r="C1196" t="s">
        <v>47</v>
      </c>
      <c r="D1196" t="s">
        <v>52</v>
      </c>
      <c r="E1196" t="s">
        <v>54</v>
      </c>
      <c r="F1196" t="s">
        <v>38</v>
      </c>
      <c r="G1196" t="s">
        <v>39</v>
      </c>
      <c r="H1196" t="s">
        <v>40</v>
      </c>
      <c r="I1196" t="s">
        <v>41</v>
      </c>
      <c r="J1196" s="2">
        <v>45155</v>
      </c>
      <c r="K1196" s="2">
        <v>45160</v>
      </c>
      <c r="L1196" s="2">
        <v>45167</v>
      </c>
      <c r="M1196" s="2">
        <v>45169</v>
      </c>
      <c r="N1196" s="2">
        <v>45171</v>
      </c>
      <c r="O1196">
        <v>1</v>
      </c>
      <c r="P1196">
        <v>1</v>
      </c>
      <c r="Q1196">
        <v>1</v>
      </c>
      <c r="R1196">
        <v>1</v>
      </c>
      <c r="S1196">
        <v>0</v>
      </c>
      <c r="T1196" t="s">
        <v>61</v>
      </c>
      <c r="U1196">
        <v>53</v>
      </c>
      <c r="V1196">
        <v>16</v>
      </c>
      <c r="W1196">
        <v>12</v>
      </c>
      <c r="X1196">
        <v>2936852</v>
      </c>
    </row>
    <row r="1197" spans="1:25">
      <c r="A1197" s="1" t="s">
        <v>1266</v>
      </c>
      <c r="B1197" t="s">
        <v>36</v>
      </c>
      <c r="C1197" t="s">
        <v>37</v>
      </c>
      <c r="D1197" t="s">
        <v>73</v>
      </c>
      <c r="E1197" t="s">
        <v>102</v>
      </c>
      <c r="F1197" t="s">
        <v>48</v>
      </c>
      <c r="G1197" t="s">
        <v>31</v>
      </c>
      <c r="H1197" t="s">
        <v>32</v>
      </c>
      <c r="I1197" t="s">
        <v>33</v>
      </c>
      <c r="J1197" s="2">
        <v>45142</v>
      </c>
      <c r="K1197" s="2">
        <v>45145</v>
      </c>
      <c r="L1197" s="2">
        <v>45155</v>
      </c>
      <c r="M1197" s="2">
        <v>45161</v>
      </c>
      <c r="N1197" s="2">
        <v>45167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74</v>
      </c>
      <c r="U1197">
        <v>51</v>
      </c>
      <c r="W1197">
        <v>2</v>
      </c>
    </row>
    <row r="1198" spans="1:25">
      <c r="A1198" s="1" t="s">
        <v>1267</v>
      </c>
      <c r="B1198" t="s">
        <v>90</v>
      </c>
      <c r="C1198" t="s">
        <v>71</v>
      </c>
      <c r="D1198" t="s">
        <v>44</v>
      </c>
      <c r="E1198" t="s">
        <v>29</v>
      </c>
      <c r="F1198" t="s">
        <v>67</v>
      </c>
      <c r="G1198" t="s">
        <v>31</v>
      </c>
      <c r="H1198" t="s">
        <v>32</v>
      </c>
      <c r="I1198" t="s">
        <v>41</v>
      </c>
      <c r="J1198" s="2">
        <v>44972</v>
      </c>
      <c r="K1198" s="2">
        <v>44977</v>
      </c>
      <c r="L1198" s="2">
        <v>44981</v>
      </c>
      <c r="M1198" s="2">
        <v>44985</v>
      </c>
      <c r="N1198" s="2">
        <v>45005</v>
      </c>
      <c r="O1198">
        <v>0</v>
      </c>
      <c r="P1198">
        <v>0</v>
      </c>
      <c r="Q1198">
        <v>0</v>
      </c>
      <c r="R1198">
        <v>0</v>
      </c>
      <c r="S1198">
        <v>0</v>
      </c>
      <c r="T1198" t="s">
        <v>74</v>
      </c>
      <c r="U1198">
        <v>76</v>
      </c>
      <c r="W1198">
        <v>4</v>
      </c>
    </row>
    <row r="1199" spans="1:25">
      <c r="A1199" s="1" t="s">
        <v>1268</v>
      </c>
      <c r="B1199" t="s">
        <v>43</v>
      </c>
      <c r="C1199" t="s">
        <v>47</v>
      </c>
      <c r="D1199" t="s">
        <v>59</v>
      </c>
      <c r="E1199" t="s">
        <v>102</v>
      </c>
      <c r="F1199" t="s">
        <v>48</v>
      </c>
      <c r="G1199" t="s">
        <v>39</v>
      </c>
      <c r="H1199" t="s">
        <v>32</v>
      </c>
      <c r="I1199" t="s">
        <v>41</v>
      </c>
      <c r="J1199" s="2">
        <v>45249</v>
      </c>
      <c r="K1199" s="2">
        <v>45253</v>
      </c>
      <c r="L1199" s="2">
        <v>45257</v>
      </c>
      <c r="M1199" s="2">
        <v>45262</v>
      </c>
      <c r="N1199" s="2">
        <v>45265</v>
      </c>
      <c r="O1199">
        <v>1</v>
      </c>
      <c r="P1199">
        <v>1</v>
      </c>
      <c r="Q1199">
        <v>1</v>
      </c>
      <c r="R1199">
        <v>1</v>
      </c>
      <c r="S1199">
        <v>0</v>
      </c>
      <c r="T1199" t="s">
        <v>61</v>
      </c>
      <c r="U1199">
        <v>48</v>
      </c>
      <c r="V1199">
        <v>16</v>
      </c>
      <c r="W1199">
        <v>14</v>
      </c>
      <c r="X1199">
        <v>2567431</v>
      </c>
    </row>
    <row r="1200" spans="1:25">
      <c r="A1200" s="1" t="s">
        <v>1269</v>
      </c>
      <c r="B1200" t="s">
        <v>90</v>
      </c>
      <c r="C1200" t="s">
        <v>78</v>
      </c>
      <c r="D1200" t="s">
        <v>73</v>
      </c>
      <c r="E1200" t="s">
        <v>54</v>
      </c>
      <c r="F1200" t="s">
        <v>76</v>
      </c>
      <c r="G1200" t="s">
        <v>55</v>
      </c>
      <c r="H1200" t="s">
        <v>32</v>
      </c>
      <c r="I1200" t="s">
        <v>33</v>
      </c>
      <c r="J1200" s="2">
        <v>45173</v>
      </c>
      <c r="K1200" s="2">
        <v>45177</v>
      </c>
      <c r="L1200" s="2">
        <v>45183</v>
      </c>
      <c r="M1200" s="2">
        <v>45185</v>
      </c>
      <c r="N1200" s="2">
        <v>45199</v>
      </c>
      <c r="O1200">
        <v>1</v>
      </c>
      <c r="P1200">
        <v>1</v>
      </c>
      <c r="Q1200">
        <v>1</v>
      </c>
      <c r="R1200">
        <v>1</v>
      </c>
      <c r="S1200">
        <v>0</v>
      </c>
      <c r="T1200" t="s">
        <v>61</v>
      </c>
      <c r="U1200">
        <v>66</v>
      </c>
      <c r="V1200">
        <v>26</v>
      </c>
      <c r="W1200">
        <v>10</v>
      </c>
      <c r="X1200">
        <v>2087590</v>
      </c>
    </row>
    <row r="1201" spans="1:25">
      <c r="A1201" s="1" t="s">
        <v>1270</v>
      </c>
      <c r="B1201" t="s">
        <v>43</v>
      </c>
      <c r="C1201" t="s">
        <v>47</v>
      </c>
      <c r="D1201" t="s">
        <v>44</v>
      </c>
      <c r="E1201" t="s">
        <v>29</v>
      </c>
      <c r="F1201" t="s">
        <v>30</v>
      </c>
      <c r="G1201" t="s">
        <v>45</v>
      </c>
      <c r="H1201" t="s">
        <v>32</v>
      </c>
      <c r="I1201" t="s">
        <v>33</v>
      </c>
      <c r="J1201" s="2">
        <v>45034</v>
      </c>
      <c r="K1201" s="2">
        <v>45036</v>
      </c>
      <c r="L1201" s="2">
        <v>45044</v>
      </c>
      <c r="M1201" s="2">
        <v>45048</v>
      </c>
      <c r="N1201" s="2">
        <v>45059</v>
      </c>
      <c r="O1201">
        <v>1</v>
      </c>
      <c r="P1201">
        <v>0</v>
      </c>
      <c r="Q1201">
        <v>0</v>
      </c>
      <c r="R1201">
        <v>0</v>
      </c>
      <c r="S1201">
        <v>0</v>
      </c>
      <c r="T1201" t="s">
        <v>34</v>
      </c>
      <c r="U1201">
        <v>50</v>
      </c>
      <c r="W1201">
        <v>10</v>
      </c>
    </row>
    <row r="1202" spans="1:25">
      <c r="A1202" s="1" t="s">
        <v>1271</v>
      </c>
      <c r="B1202" t="s">
        <v>70</v>
      </c>
      <c r="C1202" t="s">
        <v>71</v>
      </c>
      <c r="D1202" t="s">
        <v>52</v>
      </c>
      <c r="E1202" t="s">
        <v>66</v>
      </c>
      <c r="F1202" t="s">
        <v>64</v>
      </c>
      <c r="G1202" t="s">
        <v>55</v>
      </c>
      <c r="H1202" t="s">
        <v>32</v>
      </c>
      <c r="I1202" t="s">
        <v>41</v>
      </c>
      <c r="J1202" s="2">
        <v>45079</v>
      </c>
      <c r="K1202" s="2">
        <v>45084</v>
      </c>
      <c r="L1202" s="2">
        <v>45094</v>
      </c>
      <c r="M1202" s="2">
        <v>45099</v>
      </c>
      <c r="N1202" s="2">
        <v>45104</v>
      </c>
      <c r="O1202">
        <v>1</v>
      </c>
      <c r="P1202">
        <v>1</v>
      </c>
      <c r="Q1202">
        <v>0</v>
      </c>
      <c r="R1202">
        <v>0</v>
      </c>
      <c r="S1202">
        <v>0</v>
      </c>
      <c r="T1202" t="s">
        <v>34</v>
      </c>
      <c r="U1202">
        <v>48</v>
      </c>
      <c r="W1202">
        <v>5</v>
      </c>
    </row>
    <row r="1203" spans="1:25">
      <c r="A1203" s="1" t="s">
        <v>1272</v>
      </c>
      <c r="B1203" t="s">
        <v>58</v>
      </c>
      <c r="C1203" t="s">
        <v>78</v>
      </c>
      <c r="D1203" t="s">
        <v>73</v>
      </c>
      <c r="E1203" t="s">
        <v>102</v>
      </c>
      <c r="F1203" t="s">
        <v>30</v>
      </c>
      <c r="G1203" t="s">
        <v>39</v>
      </c>
      <c r="H1203" t="s">
        <v>40</v>
      </c>
      <c r="I1203" t="s">
        <v>33</v>
      </c>
      <c r="J1203" s="2">
        <v>45162</v>
      </c>
      <c r="K1203" s="2">
        <v>45166</v>
      </c>
      <c r="L1203" s="2">
        <v>45171</v>
      </c>
      <c r="M1203" s="2">
        <v>45176</v>
      </c>
      <c r="N1203" s="2">
        <v>45173</v>
      </c>
      <c r="O1203">
        <v>1</v>
      </c>
      <c r="P1203">
        <v>1</v>
      </c>
      <c r="Q1203">
        <v>0</v>
      </c>
      <c r="R1203">
        <v>0</v>
      </c>
      <c r="S1203">
        <v>0</v>
      </c>
      <c r="T1203" t="s">
        <v>34</v>
      </c>
      <c r="U1203">
        <v>90</v>
      </c>
      <c r="W1203">
        <v>7</v>
      </c>
    </row>
    <row r="1204" spans="1:25">
      <c r="A1204" s="1" t="s">
        <v>1273</v>
      </c>
      <c r="B1204" t="s">
        <v>58</v>
      </c>
      <c r="C1204" t="s">
        <v>71</v>
      </c>
      <c r="D1204" t="s">
        <v>73</v>
      </c>
      <c r="E1204" t="s">
        <v>29</v>
      </c>
      <c r="F1204" t="s">
        <v>64</v>
      </c>
      <c r="G1204" t="s">
        <v>39</v>
      </c>
      <c r="H1204" t="s">
        <v>32</v>
      </c>
      <c r="I1204" t="s">
        <v>41</v>
      </c>
      <c r="J1204" s="2">
        <v>45338</v>
      </c>
      <c r="K1204" s="2">
        <v>45342</v>
      </c>
      <c r="L1204" s="2">
        <v>45347</v>
      </c>
      <c r="M1204" s="2">
        <v>45349</v>
      </c>
      <c r="N1204" s="2">
        <v>45352</v>
      </c>
      <c r="O1204">
        <v>1</v>
      </c>
      <c r="P1204">
        <v>1</v>
      </c>
      <c r="Q1204">
        <v>1</v>
      </c>
      <c r="R1204">
        <v>1</v>
      </c>
      <c r="S1204">
        <v>0</v>
      </c>
      <c r="T1204" t="s">
        <v>61</v>
      </c>
      <c r="U1204">
        <v>54</v>
      </c>
      <c r="V1204">
        <v>14</v>
      </c>
      <c r="W1204">
        <v>3</v>
      </c>
      <c r="X1204">
        <v>1362400</v>
      </c>
    </row>
    <row r="1205" spans="1:25">
      <c r="A1205" s="1" t="s">
        <v>1274</v>
      </c>
      <c r="B1205" t="s">
        <v>36</v>
      </c>
      <c r="C1205" t="s">
        <v>71</v>
      </c>
      <c r="D1205" t="s">
        <v>73</v>
      </c>
      <c r="E1205" t="s">
        <v>54</v>
      </c>
      <c r="F1205" t="s">
        <v>67</v>
      </c>
      <c r="G1205" t="s">
        <v>31</v>
      </c>
      <c r="H1205" t="s">
        <v>56</v>
      </c>
      <c r="I1205" t="s">
        <v>41</v>
      </c>
      <c r="J1205" s="2">
        <v>45075</v>
      </c>
      <c r="K1205" s="2">
        <v>45078</v>
      </c>
      <c r="L1205" s="2">
        <v>45082</v>
      </c>
      <c r="M1205" s="2">
        <v>45088</v>
      </c>
      <c r="N1205" s="2">
        <v>45095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74</v>
      </c>
      <c r="U1205">
        <v>98</v>
      </c>
      <c r="W1205">
        <v>5</v>
      </c>
    </row>
    <row r="1206" spans="1:25">
      <c r="A1206" s="1" t="s">
        <v>1275</v>
      </c>
      <c r="B1206" t="s">
        <v>90</v>
      </c>
      <c r="C1206" t="s">
        <v>27</v>
      </c>
      <c r="D1206" t="s">
        <v>28</v>
      </c>
      <c r="E1206" t="s">
        <v>102</v>
      </c>
      <c r="F1206" t="s">
        <v>67</v>
      </c>
      <c r="G1206" t="s">
        <v>55</v>
      </c>
      <c r="H1206" t="s">
        <v>56</v>
      </c>
      <c r="I1206" t="s">
        <v>41</v>
      </c>
      <c r="J1206" s="2">
        <v>45242</v>
      </c>
      <c r="K1206" s="2">
        <v>45244</v>
      </c>
      <c r="L1206" s="2">
        <v>45253</v>
      </c>
      <c r="M1206" s="2">
        <v>45259</v>
      </c>
      <c r="N1206" s="2">
        <v>45265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74</v>
      </c>
      <c r="U1206">
        <v>80</v>
      </c>
      <c r="W1206">
        <v>1</v>
      </c>
    </row>
    <row r="1207" spans="1:25">
      <c r="A1207" s="1" t="s">
        <v>1276</v>
      </c>
      <c r="B1207" t="s">
        <v>43</v>
      </c>
      <c r="C1207" t="s">
        <v>27</v>
      </c>
      <c r="D1207" t="s">
        <v>44</v>
      </c>
      <c r="E1207" t="s">
        <v>102</v>
      </c>
      <c r="F1207" t="s">
        <v>30</v>
      </c>
      <c r="G1207" t="s">
        <v>31</v>
      </c>
      <c r="H1207" t="s">
        <v>32</v>
      </c>
      <c r="I1207" t="s">
        <v>41</v>
      </c>
      <c r="J1207" s="2">
        <v>45086</v>
      </c>
      <c r="K1207" s="2">
        <v>45087</v>
      </c>
      <c r="L1207" s="2">
        <v>45093</v>
      </c>
      <c r="M1207" s="2">
        <v>45097</v>
      </c>
      <c r="N1207" s="2">
        <v>45108</v>
      </c>
      <c r="O1207">
        <v>1</v>
      </c>
      <c r="P1207">
        <v>1</v>
      </c>
      <c r="Q1207">
        <v>1</v>
      </c>
      <c r="R1207">
        <v>1</v>
      </c>
      <c r="S1207">
        <v>0</v>
      </c>
      <c r="T1207" t="s">
        <v>61</v>
      </c>
      <c r="U1207">
        <v>63</v>
      </c>
      <c r="V1207">
        <v>22</v>
      </c>
      <c r="W1207">
        <v>0</v>
      </c>
      <c r="X1207">
        <v>699848</v>
      </c>
    </row>
    <row r="1208" spans="1:25">
      <c r="A1208" s="1" t="s">
        <v>1277</v>
      </c>
      <c r="B1208" t="s">
        <v>26</v>
      </c>
      <c r="C1208" t="s">
        <v>27</v>
      </c>
      <c r="D1208" t="s">
        <v>28</v>
      </c>
      <c r="E1208" t="s">
        <v>54</v>
      </c>
      <c r="F1208" t="s">
        <v>67</v>
      </c>
      <c r="G1208" t="s">
        <v>39</v>
      </c>
      <c r="H1208" t="s">
        <v>56</v>
      </c>
      <c r="I1208" t="s">
        <v>41</v>
      </c>
      <c r="J1208" s="2">
        <v>45454</v>
      </c>
      <c r="K1208" s="2">
        <v>45456</v>
      </c>
      <c r="L1208" s="2">
        <v>45464</v>
      </c>
      <c r="M1208" s="2">
        <v>45469</v>
      </c>
      <c r="N1208" s="2">
        <v>45474</v>
      </c>
      <c r="O1208">
        <v>0</v>
      </c>
      <c r="P1208">
        <v>0</v>
      </c>
      <c r="Q1208">
        <v>0</v>
      </c>
      <c r="R1208">
        <v>0</v>
      </c>
      <c r="S1208">
        <v>1</v>
      </c>
      <c r="T1208" t="s">
        <v>74</v>
      </c>
      <c r="U1208">
        <v>50</v>
      </c>
      <c r="W1208">
        <v>1</v>
      </c>
    </row>
    <row r="1209" spans="1:25">
      <c r="A1209" s="1" t="s">
        <v>1278</v>
      </c>
      <c r="B1209" t="s">
        <v>36</v>
      </c>
      <c r="C1209" t="s">
        <v>78</v>
      </c>
      <c r="D1209" t="s">
        <v>59</v>
      </c>
      <c r="E1209" t="s">
        <v>66</v>
      </c>
      <c r="F1209" t="s">
        <v>38</v>
      </c>
      <c r="G1209" t="s">
        <v>39</v>
      </c>
      <c r="H1209" t="s">
        <v>56</v>
      </c>
      <c r="I1209" t="s">
        <v>33</v>
      </c>
      <c r="J1209" s="2">
        <v>45181</v>
      </c>
      <c r="K1209" s="2">
        <v>45184</v>
      </c>
      <c r="L1209" s="2">
        <v>45187</v>
      </c>
      <c r="M1209" s="2">
        <v>45191</v>
      </c>
      <c r="N1209" s="2">
        <v>45197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74</v>
      </c>
      <c r="U1209">
        <v>94</v>
      </c>
      <c r="W1209">
        <v>9</v>
      </c>
    </row>
    <row r="1210" spans="1:25">
      <c r="A1210" s="1" t="s">
        <v>1279</v>
      </c>
      <c r="B1210" t="s">
        <v>58</v>
      </c>
      <c r="C1210" t="s">
        <v>37</v>
      </c>
      <c r="D1210" t="s">
        <v>44</v>
      </c>
      <c r="E1210" t="s">
        <v>102</v>
      </c>
      <c r="F1210" t="s">
        <v>67</v>
      </c>
      <c r="G1210" t="s">
        <v>45</v>
      </c>
      <c r="H1210" t="s">
        <v>40</v>
      </c>
      <c r="I1210" t="s">
        <v>33</v>
      </c>
      <c r="J1210" s="2">
        <v>45320</v>
      </c>
      <c r="K1210" s="2">
        <v>45323</v>
      </c>
      <c r="L1210" s="2">
        <v>45326</v>
      </c>
      <c r="M1210" s="2">
        <v>45328</v>
      </c>
      <c r="N1210" s="2">
        <v>45333</v>
      </c>
      <c r="O1210">
        <v>1</v>
      </c>
      <c r="P1210">
        <v>1</v>
      </c>
      <c r="Q1210">
        <v>0</v>
      </c>
      <c r="R1210">
        <v>0</v>
      </c>
      <c r="S1210">
        <v>0</v>
      </c>
      <c r="T1210" t="s">
        <v>34</v>
      </c>
      <c r="U1210">
        <v>76</v>
      </c>
      <c r="W1210">
        <v>1</v>
      </c>
    </row>
    <row r="1211" spans="1:25">
      <c r="A1211" s="1" t="s">
        <v>1280</v>
      </c>
      <c r="B1211" t="s">
        <v>70</v>
      </c>
      <c r="C1211" t="s">
        <v>47</v>
      </c>
      <c r="D1211" t="s">
        <v>59</v>
      </c>
      <c r="E1211" t="s">
        <v>29</v>
      </c>
      <c r="F1211" t="s">
        <v>76</v>
      </c>
      <c r="G1211" t="s">
        <v>39</v>
      </c>
      <c r="H1211" t="s">
        <v>32</v>
      </c>
      <c r="I1211" t="s">
        <v>41</v>
      </c>
      <c r="J1211" s="2">
        <v>45080</v>
      </c>
      <c r="K1211" s="2">
        <v>45083</v>
      </c>
      <c r="L1211" s="2">
        <v>45092</v>
      </c>
      <c r="M1211" s="2">
        <v>45097</v>
      </c>
      <c r="N1211" s="2">
        <v>45108</v>
      </c>
      <c r="O1211">
        <v>1</v>
      </c>
      <c r="P1211">
        <v>0</v>
      </c>
      <c r="Q1211">
        <v>0</v>
      </c>
      <c r="R1211">
        <v>0</v>
      </c>
      <c r="S1211">
        <v>0</v>
      </c>
      <c r="T1211" t="s">
        <v>34</v>
      </c>
      <c r="U1211">
        <v>67</v>
      </c>
      <c r="W1211">
        <v>8</v>
      </c>
    </row>
    <row r="1212" spans="1:25">
      <c r="A1212" s="1" t="s">
        <v>1281</v>
      </c>
      <c r="B1212" t="s">
        <v>43</v>
      </c>
      <c r="C1212" t="s">
        <v>27</v>
      </c>
      <c r="D1212" t="s">
        <v>73</v>
      </c>
      <c r="E1212" t="s">
        <v>29</v>
      </c>
      <c r="F1212" t="s">
        <v>67</v>
      </c>
      <c r="G1212" t="s">
        <v>39</v>
      </c>
      <c r="H1212" t="s">
        <v>40</v>
      </c>
      <c r="I1212" t="s">
        <v>41</v>
      </c>
      <c r="J1212" s="2">
        <v>45190</v>
      </c>
      <c r="K1212" s="2">
        <v>45193</v>
      </c>
      <c r="L1212" s="2">
        <v>45201</v>
      </c>
      <c r="M1212" s="2">
        <v>45204</v>
      </c>
      <c r="N1212" s="2">
        <v>45214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74</v>
      </c>
      <c r="U1212">
        <v>98</v>
      </c>
      <c r="W1212">
        <v>2</v>
      </c>
    </row>
    <row r="1213" spans="1:25">
      <c r="A1213" s="1" t="s">
        <v>1282</v>
      </c>
      <c r="B1213" t="s">
        <v>26</v>
      </c>
      <c r="C1213" t="s">
        <v>37</v>
      </c>
      <c r="D1213" t="s">
        <v>28</v>
      </c>
      <c r="E1213" t="s">
        <v>66</v>
      </c>
      <c r="F1213" t="s">
        <v>76</v>
      </c>
      <c r="G1213" t="s">
        <v>31</v>
      </c>
      <c r="H1213" t="s">
        <v>56</v>
      </c>
      <c r="I1213" t="s">
        <v>33</v>
      </c>
      <c r="J1213" s="2">
        <v>45455</v>
      </c>
      <c r="K1213" s="2">
        <v>45459</v>
      </c>
      <c r="L1213" s="2">
        <v>45466</v>
      </c>
      <c r="M1213" s="2">
        <v>45469</v>
      </c>
      <c r="N1213" s="2">
        <v>45472</v>
      </c>
      <c r="O1213">
        <v>1</v>
      </c>
      <c r="P1213">
        <v>1</v>
      </c>
      <c r="Q1213">
        <v>1</v>
      </c>
      <c r="R1213">
        <v>0</v>
      </c>
      <c r="S1213">
        <v>0</v>
      </c>
      <c r="T1213" t="s">
        <v>49</v>
      </c>
      <c r="U1213">
        <v>60</v>
      </c>
      <c r="W1213">
        <v>4</v>
      </c>
      <c r="X1213">
        <v>639459</v>
      </c>
      <c r="Y1213" t="s">
        <v>80</v>
      </c>
    </row>
    <row r="1214" spans="1:25">
      <c r="A1214" s="1" t="s">
        <v>1283</v>
      </c>
      <c r="B1214" t="s">
        <v>26</v>
      </c>
      <c r="C1214" t="s">
        <v>71</v>
      </c>
      <c r="D1214" t="s">
        <v>28</v>
      </c>
      <c r="E1214" t="s">
        <v>54</v>
      </c>
      <c r="F1214" t="s">
        <v>30</v>
      </c>
      <c r="G1214" t="s">
        <v>39</v>
      </c>
      <c r="H1214" t="s">
        <v>56</v>
      </c>
      <c r="I1214" t="s">
        <v>41</v>
      </c>
      <c r="J1214" s="2">
        <v>45376</v>
      </c>
      <c r="K1214" s="2">
        <v>45377</v>
      </c>
      <c r="L1214" s="2">
        <v>45387</v>
      </c>
      <c r="M1214" s="2">
        <v>45392</v>
      </c>
      <c r="N1214" s="2">
        <v>45389</v>
      </c>
      <c r="O1214">
        <v>1</v>
      </c>
      <c r="P1214">
        <v>1</v>
      </c>
      <c r="Q1214">
        <v>1</v>
      </c>
      <c r="R1214">
        <v>1</v>
      </c>
      <c r="S1214">
        <v>0</v>
      </c>
      <c r="T1214" t="s">
        <v>61</v>
      </c>
      <c r="U1214">
        <v>90</v>
      </c>
      <c r="V1214">
        <v>13</v>
      </c>
      <c r="W1214">
        <v>5</v>
      </c>
      <c r="X1214">
        <v>1136270</v>
      </c>
    </row>
    <row r="1215" spans="1:25">
      <c r="A1215" s="1" t="s">
        <v>1284</v>
      </c>
      <c r="B1215" t="s">
        <v>70</v>
      </c>
      <c r="C1215" t="s">
        <v>37</v>
      </c>
      <c r="D1215" t="s">
        <v>44</v>
      </c>
      <c r="E1215" t="s">
        <v>102</v>
      </c>
      <c r="F1215" t="s">
        <v>48</v>
      </c>
      <c r="G1215" t="s">
        <v>31</v>
      </c>
      <c r="H1215" t="s">
        <v>32</v>
      </c>
      <c r="I1215" t="s">
        <v>33</v>
      </c>
      <c r="J1215" s="2">
        <v>45268</v>
      </c>
      <c r="K1215" s="2">
        <v>45270</v>
      </c>
      <c r="L1215" s="2">
        <v>45276</v>
      </c>
      <c r="M1215" s="2">
        <v>45280</v>
      </c>
      <c r="N1215" s="2">
        <v>45288</v>
      </c>
      <c r="O1215">
        <v>0</v>
      </c>
      <c r="P1215">
        <v>0</v>
      </c>
      <c r="Q1215">
        <v>0</v>
      </c>
      <c r="R1215">
        <v>0</v>
      </c>
      <c r="S1215">
        <v>1</v>
      </c>
      <c r="T1215" t="s">
        <v>74</v>
      </c>
      <c r="U1215">
        <v>82</v>
      </c>
      <c r="W1215">
        <v>1</v>
      </c>
    </row>
    <row r="1216" spans="1:25">
      <c r="A1216" s="1" t="s">
        <v>1285</v>
      </c>
      <c r="B1216" t="s">
        <v>70</v>
      </c>
      <c r="C1216" t="s">
        <v>78</v>
      </c>
      <c r="D1216" t="s">
        <v>44</v>
      </c>
      <c r="E1216" t="s">
        <v>66</v>
      </c>
      <c r="F1216" t="s">
        <v>76</v>
      </c>
      <c r="G1216" t="s">
        <v>39</v>
      </c>
      <c r="H1216" t="s">
        <v>32</v>
      </c>
      <c r="I1216" t="s">
        <v>33</v>
      </c>
      <c r="J1216" s="2">
        <v>45337</v>
      </c>
      <c r="K1216" s="2">
        <v>45341</v>
      </c>
      <c r="L1216" s="2">
        <v>45344</v>
      </c>
      <c r="M1216" s="2">
        <v>45350</v>
      </c>
      <c r="N1216" s="2">
        <v>45357</v>
      </c>
      <c r="O1216">
        <v>1</v>
      </c>
      <c r="P1216">
        <v>1</v>
      </c>
      <c r="Q1216">
        <v>0</v>
      </c>
      <c r="R1216">
        <v>0</v>
      </c>
      <c r="S1216">
        <v>0</v>
      </c>
      <c r="T1216" t="s">
        <v>34</v>
      </c>
      <c r="U1216">
        <v>51</v>
      </c>
      <c r="W1216">
        <v>7</v>
      </c>
    </row>
    <row r="1217" spans="1:25">
      <c r="A1217" s="1" t="s">
        <v>1286</v>
      </c>
      <c r="B1217" t="s">
        <v>36</v>
      </c>
      <c r="C1217" t="s">
        <v>71</v>
      </c>
      <c r="D1217" t="s">
        <v>52</v>
      </c>
      <c r="E1217" t="s">
        <v>102</v>
      </c>
      <c r="F1217" t="s">
        <v>48</v>
      </c>
      <c r="G1217" t="s">
        <v>31</v>
      </c>
      <c r="H1217" t="s">
        <v>40</v>
      </c>
      <c r="I1217" t="s">
        <v>41</v>
      </c>
      <c r="J1217" s="2">
        <v>45277</v>
      </c>
      <c r="K1217" s="2">
        <v>45278</v>
      </c>
      <c r="L1217" s="2">
        <v>45288</v>
      </c>
      <c r="M1217" s="2">
        <v>45291</v>
      </c>
      <c r="N1217" s="2">
        <v>45291</v>
      </c>
      <c r="O1217">
        <v>0</v>
      </c>
      <c r="P1217">
        <v>0</v>
      </c>
      <c r="Q1217">
        <v>0</v>
      </c>
      <c r="R1217">
        <v>0</v>
      </c>
      <c r="S1217">
        <v>0</v>
      </c>
      <c r="T1217" t="s">
        <v>74</v>
      </c>
      <c r="U1217">
        <v>83</v>
      </c>
      <c r="W1217">
        <v>5</v>
      </c>
    </row>
    <row r="1218" spans="1:25">
      <c r="A1218" s="1" t="s">
        <v>1287</v>
      </c>
      <c r="B1218" t="s">
        <v>90</v>
      </c>
      <c r="C1218" t="s">
        <v>71</v>
      </c>
      <c r="D1218" t="s">
        <v>73</v>
      </c>
      <c r="E1218" t="s">
        <v>54</v>
      </c>
      <c r="F1218" t="s">
        <v>30</v>
      </c>
      <c r="G1218" t="s">
        <v>55</v>
      </c>
      <c r="H1218" t="s">
        <v>40</v>
      </c>
      <c r="I1218" t="s">
        <v>33</v>
      </c>
      <c r="J1218" s="2">
        <v>45251</v>
      </c>
      <c r="K1218" s="2">
        <v>45252</v>
      </c>
      <c r="L1218" s="2">
        <v>45262</v>
      </c>
      <c r="M1218" s="2">
        <v>45264</v>
      </c>
      <c r="N1218" s="2">
        <v>45276</v>
      </c>
      <c r="O1218">
        <v>1</v>
      </c>
      <c r="P1218">
        <v>1</v>
      </c>
      <c r="Q1218">
        <v>1</v>
      </c>
      <c r="R1218">
        <v>0</v>
      </c>
      <c r="S1218">
        <v>0</v>
      </c>
      <c r="T1218" t="s">
        <v>49</v>
      </c>
      <c r="U1218">
        <v>86</v>
      </c>
      <c r="W1218">
        <v>4</v>
      </c>
      <c r="X1218">
        <v>1227249</v>
      </c>
      <c r="Y1218" t="s">
        <v>87</v>
      </c>
    </row>
    <row r="1219" spans="1:25">
      <c r="A1219" s="1" t="s">
        <v>1288</v>
      </c>
      <c r="B1219" t="s">
        <v>90</v>
      </c>
      <c r="C1219" t="s">
        <v>78</v>
      </c>
      <c r="D1219" t="s">
        <v>59</v>
      </c>
      <c r="E1219" t="s">
        <v>54</v>
      </c>
      <c r="F1219" t="s">
        <v>64</v>
      </c>
      <c r="G1219" t="s">
        <v>45</v>
      </c>
      <c r="H1219" t="s">
        <v>32</v>
      </c>
      <c r="I1219" t="s">
        <v>33</v>
      </c>
      <c r="J1219" s="2">
        <v>45026</v>
      </c>
      <c r="K1219" s="2">
        <v>45029</v>
      </c>
      <c r="L1219" s="2">
        <v>45039</v>
      </c>
      <c r="M1219" s="2">
        <v>45041</v>
      </c>
      <c r="N1219" s="2">
        <v>45049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74</v>
      </c>
      <c r="U1219">
        <v>56</v>
      </c>
      <c r="W1219">
        <v>9</v>
      </c>
    </row>
    <row r="1220" spans="1:25">
      <c r="A1220" s="1" t="s">
        <v>1289</v>
      </c>
      <c r="B1220" t="s">
        <v>90</v>
      </c>
      <c r="C1220" t="s">
        <v>71</v>
      </c>
      <c r="D1220" t="s">
        <v>28</v>
      </c>
      <c r="E1220" t="s">
        <v>63</v>
      </c>
      <c r="F1220" t="s">
        <v>64</v>
      </c>
      <c r="G1220" t="s">
        <v>60</v>
      </c>
      <c r="H1220" t="s">
        <v>56</v>
      </c>
      <c r="I1220" t="s">
        <v>33</v>
      </c>
      <c r="J1220" s="2">
        <v>45016</v>
      </c>
      <c r="K1220" s="2">
        <v>45019</v>
      </c>
      <c r="L1220" s="2">
        <v>45029</v>
      </c>
      <c r="M1220" s="2">
        <v>45036</v>
      </c>
      <c r="N1220" s="2">
        <v>45049</v>
      </c>
      <c r="O1220">
        <v>1</v>
      </c>
      <c r="P1220">
        <v>1</v>
      </c>
      <c r="Q1220">
        <v>1</v>
      </c>
      <c r="R1220">
        <v>0</v>
      </c>
      <c r="S1220">
        <v>0</v>
      </c>
      <c r="T1220" t="s">
        <v>49</v>
      </c>
      <c r="U1220">
        <v>89</v>
      </c>
      <c r="W1220">
        <v>3</v>
      </c>
      <c r="X1220">
        <v>857790</v>
      </c>
      <c r="Y1220" t="s">
        <v>127</v>
      </c>
    </row>
    <row r="1221" spans="1:25">
      <c r="A1221" s="1" t="s">
        <v>1290</v>
      </c>
      <c r="B1221" t="s">
        <v>70</v>
      </c>
      <c r="C1221" t="s">
        <v>37</v>
      </c>
      <c r="D1221" t="s">
        <v>59</v>
      </c>
      <c r="E1221" t="s">
        <v>63</v>
      </c>
      <c r="F1221" t="s">
        <v>64</v>
      </c>
      <c r="G1221" t="s">
        <v>45</v>
      </c>
      <c r="H1221" t="s">
        <v>32</v>
      </c>
      <c r="I1221" t="s">
        <v>41</v>
      </c>
      <c r="J1221" s="2">
        <v>45227</v>
      </c>
      <c r="K1221" s="2">
        <v>45231</v>
      </c>
      <c r="L1221" s="2">
        <v>45237</v>
      </c>
      <c r="M1221" s="2">
        <v>45243</v>
      </c>
      <c r="N1221" s="2">
        <v>45255</v>
      </c>
      <c r="O1221">
        <v>1</v>
      </c>
      <c r="P1221">
        <v>0</v>
      </c>
      <c r="Q1221">
        <v>0</v>
      </c>
      <c r="R1221">
        <v>0</v>
      </c>
      <c r="S1221">
        <v>0</v>
      </c>
      <c r="T1221" t="s">
        <v>34</v>
      </c>
      <c r="U1221">
        <v>46</v>
      </c>
      <c r="W1221">
        <v>4</v>
      </c>
    </row>
    <row r="1222" spans="1:25">
      <c r="A1222" s="1" t="s">
        <v>1291</v>
      </c>
      <c r="B1222" t="s">
        <v>36</v>
      </c>
      <c r="C1222" t="s">
        <v>78</v>
      </c>
      <c r="D1222" t="s">
        <v>28</v>
      </c>
      <c r="E1222" t="s">
        <v>54</v>
      </c>
      <c r="F1222" t="s">
        <v>64</v>
      </c>
      <c r="G1222" t="s">
        <v>55</v>
      </c>
      <c r="H1222" t="s">
        <v>56</v>
      </c>
      <c r="I1222" t="s">
        <v>33</v>
      </c>
      <c r="J1222" s="2">
        <v>45216</v>
      </c>
      <c r="K1222" s="2">
        <v>45217</v>
      </c>
      <c r="L1222" s="2">
        <v>45223</v>
      </c>
      <c r="M1222" s="2">
        <v>45226</v>
      </c>
      <c r="N1222" s="2">
        <v>45246</v>
      </c>
      <c r="O1222">
        <v>1</v>
      </c>
      <c r="P1222">
        <v>1</v>
      </c>
      <c r="Q1222">
        <v>1</v>
      </c>
      <c r="R1222">
        <v>0</v>
      </c>
      <c r="S1222">
        <v>0</v>
      </c>
      <c r="T1222" t="s">
        <v>49</v>
      </c>
      <c r="U1222">
        <v>96</v>
      </c>
      <c r="W1222">
        <v>8</v>
      </c>
      <c r="X1222">
        <v>1515738</v>
      </c>
      <c r="Y1222" t="s">
        <v>127</v>
      </c>
    </row>
    <row r="1223" spans="1:25">
      <c r="A1223" s="1" t="s">
        <v>1292</v>
      </c>
      <c r="B1223" t="s">
        <v>43</v>
      </c>
      <c r="C1223" t="s">
        <v>71</v>
      </c>
      <c r="D1223" t="s">
        <v>44</v>
      </c>
      <c r="E1223" t="s">
        <v>66</v>
      </c>
      <c r="F1223" t="s">
        <v>76</v>
      </c>
      <c r="G1223" t="s">
        <v>31</v>
      </c>
      <c r="H1223" t="s">
        <v>32</v>
      </c>
      <c r="I1223" t="s">
        <v>33</v>
      </c>
      <c r="J1223" s="2">
        <v>45268</v>
      </c>
      <c r="K1223" s="2">
        <v>45273</v>
      </c>
      <c r="L1223" s="2">
        <v>45276</v>
      </c>
      <c r="M1223" s="2">
        <v>45282</v>
      </c>
      <c r="N1223" s="2">
        <v>45294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74</v>
      </c>
      <c r="U1223">
        <v>59</v>
      </c>
      <c r="W1223">
        <v>3</v>
      </c>
    </row>
    <row r="1224" spans="1:25">
      <c r="A1224" s="1" t="s">
        <v>1293</v>
      </c>
      <c r="B1224" t="s">
        <v>90</v>
      </c>
      <c r="C1224" t="s">
        <v>27</v>
      </c>
      <c r="D1224" t="s">
        <v>73</v>
      </c>
      <c r="E1224" t="s">
        <v>102</v>
      </c>
      <c r="F1224" t="s">
        <v>30</v>
      </c>
      <c r="G1224" t="s">
        <v>39</v>
      </c>
      <c r="H1224" t="s">
        <v>32</v>
      </c>
      <c r="I1224" t="s">
        <v>33</v>
      </c>
      <c r="J1224" s="2">
        <v>45010</v>
      </c>
      <c r="K1224" s="2">
        <v>45014</v>
      </c>
      <c r="L1224" s="2">
        <v>45018</v>
      </c>
      <c r="M1224" s="2">
        <v>45020</v>
      </c>
      <c r="N1224" s="2">
        <v>45036</v>
      </c>
      <c r="O1224">
        <v>0</v>
      </c>
      <c r="P1224">
        <v>0</v>
      </c>
      <c r="Q1224">
        <v>0</v>
      </c>
      <c r="R1224">
        <v>0</v>
      </c>
      <c r="S1224">
        <v>1</v>
      </c>
      <c r="T1224" t="s">
        <v>74</v>
      </c>
      <c r="U1224">
        <v>61</v>
      </c>
      <c r="W1224">
        <v>1</v>
      </c>
    </row>
    <row r="1225" spans="1:25">
      <c r="A1225" s="1" t="s">
        <v>1294</v>
      </c>
      <c r="B1225" t="s">
        <v>70</v>
      </c>
      <c r="C1225" t="s">
        <v>78</v>
      </c>
      <c r="D1225" t="s">
        <v>73</v>
      </c>
      <c r="E1225" t="s">
        <v>66</v>
      </c>
      <c r="F1225" t="s">
        <v>64</v>
      </c>
      <c r="G1225" t="s">
        <v>55</v>
      </c>
      <c r="H1225" t="s">
        <v>40</v>
      </c>
      <c r="I1225" t="s">
        <v>41</v>
      </c>
      <c r="J1225" s="2">
        <v>45352</v>
      </c>
      <c r="K1225" s="2">
        <v>45356</v>
      </c>
      <c r="L1225" s="2">
        <v>45362</v>
      </c>
      <c r="M1225" s="2">
        <v>45365</v>
      </c>
      <c r="N1225" s="2">
        <v>45380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74</v>
      </c>
      <c r="U1225">
        <v>96</v>
      </c>
      <c r="W1225">
        <v>10</v>
      </c>
    </row>
    <row r="1226" spans="1:25">
      <c r="A1226" s="1" t="s">
        <v>1295</v>
      </c>
      <c r="B1226" t="s">
        <v>36</v>
      </c>
      <c r="C1226" t="s">
        <v>78</v>
      </c>
      <c r="D1226" t="s">
        <v>59</v>
      </c>
      <c r="E1226" t="s">
        <v>63</v>
      </c>
      <c r="F1226" t="s">
        <v>67</v>
      </c>
      <c r="G1226" t="s">
        <v>39</v>
      </c>
      <c r="H1226" t="s">
        <v>40</v>
      </c>
      <c r="I1226" t="s">
        <v>33</v>
      </c>
      <c r="J1226" s="2">
        <v>45096</v>
      </c>
      <c r="K1226" s="2">
        <v>45097</v>
      </c>
      <c r="L1226" s="2">
        <v>45103</v>
      </c>
      <c r="M1226" s="2">
        <v>45109</v>
      </c>
      <c r="N1226" s="2">
        <v>45124</v>
      </c>
      <c r="O1226">
        <v>1</v>
      </c>
      <c r="P1226">
        <v>1</v>
      </c>
      <c r="Q1226">
        <v>1</v>
      </c>
      <c r="R1226">
        <v>0</v>
      </c>
      <c r="S1226">
        <v>0</v>
      </c>
      <c r="T1226" t="s">
        <v>49</v>
      </c>
      <c r="U1226">
        <v>85</v>
      </c>
      <c r="W1226">
        <v>8</v>
      </c>
      <c r="X1226">
        <v>1689226</v>
      </c>
      <c r="Y1226" t="s">
        <v>87</v>
      </c>
    </row>
    <row r="1227" spans="1:25">
      <c r="A1227" s="1" t="s">
        <v>1296</v>
      </c>
      <c r="B1227" t="s">
        <v>70</v>
      </c>
      <c r="C1227" t="s">
        <v>27</v>
      </c>
      <c r="D1227" t="s">
        <v>73</v>
      </c>
      <c r="E1227" t="s">
        <v>66</v>
      </c>
      <c r="F1227" t="s">
        <v>76</v>
      </c>
      <c r="G1227" t="s">
        <v>60</v>
      </c>
      <c r="H1227" t="s">
        <v>40</v>
      </c>
      <c r="I1227" t="s">
        <v>41</v>
      </c>
      <c r="J1227" s="2">
        <v>45264</v>
      </c>
      <c r="K1227" s="2">
        <v>45265</v>
      </c>
      <c r="L1227" s="2">
        <v>45275</v>
      </c>
      <c r="M1227" s="2">
        <v>45282</v>
      </c>
      <c r="N1227" s="2">
        <v>45291</v>
      </c>
      <c r="O1227">
        <v>1</v>
      </c>
      <c r="P1227">
        <v>1</v>
      </c>
      <c r="Q1227">
        <v>0</v>
      </c>
      <c r="R1227">
        <v>0</v>
      </c>
      <c r="S1227">
        <v>0</v>
      </c>
      <c r="T1227" t="s">
        <v>34</v>
      </c>
      <c r="U1227">
        <v>92</v>
      </c>
      <c r="W1227">
        <v>0</v>
      </c>
    </row>
    <row r="1228" spans="1:25">
      <c r="A1228" s="1" t="s">
        <v>1297</v>
      </c>
      <c r="B1228" t="s">
        <v>70</v>
      </c>
      <c r="C1228" t="s">
        <v>47</v>
      </c>
      <c r="D1228" t="s">
        <v>44</v>
      </c>
      <c r="E1228" t="s">
        <v>63</v>
      </c>
      <c r="F1228" t="s">
        <v>67</v>
      </c>
      <c r="G1228" t="s">
        <v>39</v>
      </c>
      <c r="H1228" t="s">
        <v>32</v>
      </c>
      <c r="I1228" t="s">
        <v>41</v>
      </c>
      <c r="J1228" s="2">
        <v>44936</v>
      </c>
      <c r="K1228" s="2">
        <v>44937</v>
      </c>
      <c r="L1228" s="2">
        <v>44947</v>
      </c>
      <c r="M1228" s="2">
        <v>44953</v>
      </c>
      <c r="N1228" s="2">
        <v>44974</v>
      </c>
      <c r="O1228">
        <v>1</v>
      </c>
      <c r="P1228">
        <v>1</v>
      </c>
      <c r="Q1228">
        <v>1</v>
      </c>
      <c r="R1228">
        <v>1</v>
      </c>
      <c r="S1228">
        <v>0</v>
      </c>
      <c r="T1228" t="s">
        <v>61</v>
      </c>
      <c r="U1228">
        <v>86</v>
      </c>
      <c r="V1228">
        <v>38</v>
      </c>
      <c r="W1228">
        <v>13</v>
      </c>
      <c r="X1228">
        <v>2678558</v>
      </c>
    </row>
    <row r="1229" spans="1:25">
      <c r="A1229" s="1" t="s">
        <v>1298</v>
      </c>
      <c r="B1229" t="s">
        <v>36</v>
      </c>
      <c r="C1229" t="s">
        <v>27</v>
      </c>
      <c r="D1229" t="s">
        <v>44</v>
      </c>
      <c r="E1229" t="s">
        <v>29</v>
      </c>
      <c r="F1229" t="s">
        <v>67</v>
      </c>
      <c r="G1229" t="s">
        <v>39</v>
      </c>
      <c r="H1229" t="s">
        <v>56</v>
      </c>
      <c r="I1229" t="s">
        <v>41</v>
      </c>
      <c r="J1229" s="2">
        <v>45061</v>
      </c>
      <c r="K1229" s="2">
        <v>45066</v>
      </c>
      <c r="L1229" s="2">
        <v>45073</v>
      </c>
      <c r="M1229" s="2">
        <v>45075</v>
      </c>
      <c r="N1229" s="2">
        <v>45076</v>
      </c>
      <c r="O1229">
        <v>1</v>
      </c>
      <c r="P1229">
        <v>1</v>
      </c>
      <c r="Q1229">
        <v>1</v>
      </c>
      <c r="R1229">
        <v>1</v>
      </c>
      <c r="S1229">
        <v>0</v>
      </c>
      <c r="T1229" t="s">
        <v>61</v>
      </c>
      <c r="U1229">
        <v>46</v>
      </c>
      <c r="V1229">
        <v>15</v>
      </c>
      <c r="W1229">
        <v>0</v>
      </c>
      <c r="X1229">
        <v>585196</v>
      </c>
    </row>
    <row r="1230" spans="1:25">
      <c r="A1230" s="1" t="s">
        <v>1299</v>
      </c>
      <c r="B1230" t="s">
        <v>43</v>
      </c>
      <c r="C1230" t="s">
        <v>37</v>
      </c>
      <c r="D1230" t="s">
        <v>44</v>
      </c>
      <c r="E1230" t="s">
        <v>63</v>
      </c>
      <c r="F1230" t="s">
        <v>30</v>
      </c>
      <c r="G1230" t="s">
        <v>60</v>
      </c>
      <c r="H1230" t="s">
        <v>32</v>
      </c>
      <c r="I1230" t="s">
        <v>41</v>
      </c>
      <c r="J1230" s="2">
        <v>44956</v>
      </c>
      <c r="K1230" s="2">
        <v>44959</v>
      </c>
      <c r="L1230" s="2">
        <v>44966</v>
      </c>
      <c r="M1230" s="2">
        <v>44972</v>
      </c>
      <c r="N1230" s="2">
        <v>44983</v>
      </c>
      <c r="O1230">
        <v>1</v>
      </c>
      <c r="P1230">
        <v>0</v>
      </c>
      <c r="Q1230">
        <v>0</v>
      </c>
      <c r="R1230">
        <v>0</v>
      </c>
      <c r="S1230">
        <v>0</v>
      </c>
      <c r="T1230" t="s">
        <v>34</v>
      </c>
      <c r="U1230">
        <v>57</v>
      </c>
      <c r="W1230">
        <v>1</v>
      </c>
    </row>
    <row r="1231" spans="1:25">
      <c r="A1231" s="1" t="s">
        <v>1300</v>
      </c>
      <c r="B1231" t="s">
        <v>70</v>
      </c>
      <c r="C1231" t="s">
        <v>27</v>
      </c>
      <c r="D1231" t="s">
        <v>59</v>
      </c>
      <c r="E1231" t="s">
        <v>63</v>
      </c>
      <c r="F1231" t="s">
        <v>38</v>
      </c>
      <c r="G1231" t="s">
        <v>60</v>
      </c>
      <c r="H1231" t="s">
        <v>56</v>
      </c>
      <c r="I1231" t="s">
        <v>33</v>
      </c>
      <c r="J1231" s="2">
        <v>45155</v>
      </c>
      <c r="K1231" s="2">
        <v>45160</v>
      </c>
      <c r="L1231" s="2">
        <v>45166</v>
      </c>
      <c r="M1231" s="2">
        <v>45173</v>
      </c>
      <c r="N1231" s="2">
        <v>45183</v>
      </c>
      <c r="O1231">
        <v>1</v>
      </c>
      <c r="P1231">
        <v>0</v>
      </c>
      <c r="Q1231">
        <v>0</v>
      </c>
      <c r="R1231">
        <v>0</v>
      </c>
      <c r="S1231">
        <v>0</v>
      </c>
      <c r="T1231" t="s">
        <v>34</v>
      </c>
      <c r="U1231">
        <v>45</v>
      </c>
      <c r="W1231">
        <v>1</v>
      </c>
    </row>
    <row r="1232" spans="1:25">
      <c r="A1232" s="1" t="s">
        <v>1301</v>
      </c>
      <c r="B1232" t="s">
        <v>26</v>
      </c>
      <c r="C1232" t="s">
        <v>47</v>
      </c>
      <c r="D1232" t="s">
        <v>52</v>
      </c>
      <c r="E1232" t="s">
        <v>63</v>
      </c>
      <c r="F1232" t="s">
        <v>48</v>
      </c>
      <c r="G1232" t="s">
        <v>45</v>
      </c>
      <c r="H1232" t="s">
        <v>40</v>
      </c>
      <c r="I1232" t="s">
        <v>33</v>
      </c>
      <c r="J1232" s="2">
        <v>45130</v>
      </c>
      <c r="K1232" s="2">
        <v>45131</v>
      </c>
      <c r="L1232" s="2">
        <v>45136</v>
      </c>
      <c r="M1232" s="2">
        <v>45140</v>
      </c>
      <c r="N1232" s="2">
        <v>45149</v>
      </c>
      <c r="O1232">
        <v>1</v>
      </c>
      <c r="P1232">
        <v>0</v>
      </c>
      <c r="Q1232">
        <v>0</v>
      </c>
      <c r="R1232">
        <v>0</v>
      </c>
      <c r="S1232">
        <v>0</v>
      </c>
      <c r="T1232" t="s">
        <v>34</v>
      </c>
      <c r="U1232">
        <v>46</v>
      </c>
      <c r="W1232">
        <v>15</v>
      </c>
    </row>
    <row r="1233" spans="1:25">
      <c r="A1233" s="1" t="s">
        <v>1302</v>
      </c>
      <c r="B1233" t="s">
        <v>26</v>
      </c>
      <c r="C1233" t="s">
        <v>37</v>
      </c>
      <c r="D1233" t="s">
        <v>44</v>
      </c>
      <c r="E1233" t="s">
        <v>102</v>
      </c>
      <c r="F1233" t="s">
        <v>64</v>
      </c>
      <c r="G1233" t="s">
        <v>39</v>
      </c>
      <c r="H1233" t="s">
        <v>32</v>
      </c>
      <c r="I1233" t="s">
        <v>41</v>
      </c>
      <c r="J1233" s="2">
        <v>45349</v>
      </c>
      <c r="K1233" s="2">
        <v>45352</v>
      </c>
      <c r="L1233" s="2">
        <v>45357</v>
      </c>
      <c r="M1233" s="2">
        <v>45362</v>
      </c>
      <c r="N1233" s="2">
        <v>45365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74</v>
      </c>
      <c r="U1233">
        <v>80</v>
      </c>
      <c r="W1233">
        <v>1</v>
      </c>
    </row>
    <row r="1234" spans="1:25">
      <c r="A1234" s="1" t="s">
        <v>1303</v>
      </c>
      <c r="B1234" t="s">
        <v>58</v>
      </c>
      <c r="C1234" t="s">
        <v>71</v>
      </c>
      <c r="D1234" t="s">
        <v>28</v>
      </c>
      <c r="E1234" t="s">
        <v>29</v>
      </c>
      <c r="F1234" t="s">
        <v>30</v>
      </c>
      <c r="G1234" t="s">
        <v>55</v>
      </c>
      <c r="H1234" t="s">
        <v>32</v>
      </c>
      <c r="I1234" t="s">
        <v>41</v>
      </c>
      <c r="J1234" s="2">
        <v>45073</v>
      </c>
      <c r="K1234" s="2">
        <v>45074</v>
      </c>
      <c r="L1234" s="2">
        <v>45084</v>
      </c>
      <c r="M1234" s="2">
        <v>45088</v>
      </c>
      <c r="N1234" s="2">
        <v>45091</v>
      </c>
      <c r="O1234">
        <v>1</v>
      </c>
      <c r="P1234">
        <v>1</v>
      </c>
      <c r="Q1234">
        <v>1</v>
      </c>
      <c r="R1234">
        <v>1</v>
      </c>
      <c r="S1234">
        <v>0</v>
      </c>
      <c r="T1234" t="s">
        <v>61</v>
      </c>
      <c r="U1234">
        <v>96</v>
      </c>
      <c r="V1234">
        <v>18</v>
      </c>
      <c r="W1234">
        <v>4</v>
      </c>
      <c r="X1234">
        <v>1405921</v>
      </c>
    </row>
    <row r="1235" spans="1:25">
      <c r="A1235" s="1" t="s">
        <v>1304</v>
      </c>
      <c r="B1235" t="s">
        <v>36</v>
      </c>
      <c r="C1235" t="s">
        <v>27</v>
      </c>
      <c r="D1235" t="s">
        <v>44</v>
      </c>
      <c r="E1235" t="s">
        <v>102</v>
      </c>
      <c r="F1235" t="s">
        <v>48</v>
      </c>
      <c r="G1235" t="s">
        <v>55</v>
      </c>
      <c r="H1235" t="s">
        <v>32</v>
      </c>
      <c r="I1235" t="s">
        <v>41</v>
      </c>
      <c r="J1235" s="2">
        <v>45144</v>
      </c>
      <c r="K1235" s="2">
        <v>45147</v>
      </c>
      <c r="L1235" s="2">
        <v>45157</v>
      </c>
      <c r="M1235" s="2">
        <v>45161</v>
      </c>
      <c r="N1235" s="2">
        <v>45166</v>
      </c>
      <c r="O1235">
        <v>1</v>
      </c>
      <c r="P1235">
        <v>1</v>
      </c>
      <c r="Q1235">
        <v>1</v>
      </c>
      <c r="R1235">
        <v>0</v>
      </c>
      <c r="S1235">
        <v>0</v>
      </c>
      <c r="T1235" t="s">
        <v>49</v>
      </c>
      <c r="U1235">
        <v>87</v>
      </c>
      <c r="W1235">
        <v>0</v>
      </c>
      <c r="X1235">
        <v>565635</v>
      </c>
      <c r="Y1235" t="s">
        <v>87</v>
      </c>
    </row>
    <row r="1236" spans="1:25">
      <c r="A1236" s="1" t="s">
        <v>1305</v>
      </c>
      <c r="B1236" t="s">
        <v>26</v>
      </c>
      <c r="C1236" t="s">
        <v>71</v>
      </c>
      <c r="D1236" t="s">
        <v>28</v>
      </c>
      <c r="E1236" t="s">
        <v>66</v>
      </c>
      <c r="F1236" t="s">
        <v>67</v>
      </c>
      <c r="G1236" t="s">
        <v>60</v>
      </c>
      <c r="H1236" t="s">
        <v>32</v>
      </c>
      <c r="I1236" t="s">
        <v>41</v>
      </c>
      <c r="J1236" s="2">
        <v>45238</v>
      </c>
      <c r="K1236" s="2">
        <v>45241</v>
      </c>
      <c r="L1236" s="2">
        <v>45251</v>
      </c>
      <c r="M1236" s="2">
        <v>45256</v>
      </c>
      <c r="N1236" s="2">
        <v>45255</v>
      </c>
      <c r="O1236">
        <v>1</v>
      </c>
      <c r="P1236">
        <v>1</v>
      </c>
      <c r="Q1236">
        <v>0</v>
      </c>
      <c r="R1236">
        <v>0</v>
      </c>
      <c r="S1236">
        <v>0</v>
      </c>
      <c r="T1236" t="s">
        <v>34</v>
      </c>
      <c r="U1236">
        <v>88</v>
      </c>
      <c r="W1236">
        <v>4</v>
      </c>
    </row>
    <row r="1237" spans="1:25">
      <c r="A1237" s="1" t="s">
        <v>1306</v>
      </c>
      <c r="B1237" t="s">
        <v>90</v>
      </c>
      <c r="C1237" t="s">
        <v>47</v>
      </c>
      <c r="D1237" t="s">
        <v>44</v>
      </c>
      <c r="E1237" t="s">
        <v>102</v>
      </c>
      <c r="F1237" t="s">
        <v>64</v>
      </c>
      <c r="G1237" t="s">
        <v>31</v>
      </c>
      <c r="H1237" t="s">
        <v>40</v>
      </c>
      <c r="I1237" t="s">
        <v>33</v>
      </c>
      <c r="J1237" s="2">
        <v>45192</v>
      </c>
      <c r="K1237" s="2">
        <v>45196</v>
      </c>
      <c r="L1237" s="2">
        <v>45201</v>
      </c>
      <c r="M1237" s="2">
        <v>45204</v>
      </c>
      <c r="N1237" s="2">
        <v>45219</v>
      </c>
      <c r="O1237">
        <v>1</v>
      </c>
      <c r="P1237">
        <v>1</v>
      </c>
      <c r="Q1237">
        <v>1</v>
      </c>
      <c r="R1237">
        <v>1</v>
      </c>
      <c r="S1237">
        <v>0</v>
      </c>
      <c r="T1237" t="s">
        <v>61</v>
      </c>
      <c r="U1237">
        <v>90</v>
      </c>
      <c r="V1237">
        <v>27</v>
      </c>
      <c r="W1237">
        <v>8</v>
      </c>
      <c r="X1237">
        <v>2036587</v>
      </c>
    </row>
    <row r="1238" spans="1:25">
      <c r="A1238" s="1" t="s">
        <v>1307</v>
      </c>
      <c r="B1238" t="s">
        <v>70</v>
      </c>
      <c r="C1238" t="s">
        <v>71</v>
      </c>
      <c r="D1238" t="s">
        <v>44</v>
      </c>
      <c r="E1238" t="s">
        <v>54</v>
      </c>
      <c r="F1238" t="s">
        <v>48</v>
      </c>
      <c r="G1238" t="s">
        <v>31</v>
      </c>
      <c r="H1238" t="s">
        <v>32</v>
      </c>
      <c r="I1238" t="s">
        <v>41</v>
      </c>
      <c r="J1238" s="2">
        <v>45155</v>
      </c>
      <c r="K1238" s="2">
        <v>45156</v>
      </c>
      <c r="L1238" s="2">
        <v>45160</v>
      </c>
      <c r="M1238" s="2">
        <v>45163</v>
      </c>
      <c r="N1238" s="2">
        <v>45186</v>
      </c>
      <c r="O1238">
        <v>1</v>
      </c>
      <c r="P1238">
        <v>1</v>
      </c>
      <c r="Q1238">
        <v>1</v>
      </c>
      <c r="R1238">
        <v>0</v>
      </c>
      <c r="S1238">
        <v>0</v>
      </c>
      <c r="T1238" t="s">
        <v>49</v>
      </c>
      <c r="U1238">
        <v>76</v>
      </c>
      <c r="W1238">
        <v>3</v>
      </c>
      <c r="X1238">
        <v>1168030</v>
      </c>
      <c r="Y1238" t="s">
        <v>87</v>
      </c>
    </row>
    <row r="1239" spans="1:25">
      <c r="A1239" s="1" t="s">
        <v>1308</v>
      </c>
      <c r="B1239" t="s">
        <v>70</v>
      </c>
      <c r="C1239" t="s">
        <v>71</v>
      </c>
      <c r="D1239" t="s">
        <v>73</v>
      </c>
      <c r="E1239" t="s">
        <v>66</v>
      </c>
      <c r="F1239" t="s">
        <v>38</v>
      </c>
      <c r="G1239" t="s">
        <v>60</v>
      </c>
      <c r="H1239" t="s">
        <v>40</v>
      </c>
      <c r="I1239" t="s">
        <v>33</v>
      </c>
      <c r="J1239" s="2">
        <v>44938</v>
      </c>
      <c r="K1239" s="2">
        <v>44940</v>
      </c>
      <c r="L1239" s="2">
        <v>44949</v>
      </c>
      <c r="M1239" s="2">
        <v>44954</v>
      </c>
      <c r="N1239" s="2">
        <v>44963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74</v>
      </c>
      <c r="U1239">
        <v>85</v>
      </c>
      <c r="W1239">
        <v>6</v>
      </c>
    </row>
    <row r="1240" spans="1:25">
      <c r="A1240" s="1" t="s">
        <v>1309</v>
      </c>
      <c r="B1240" t="s">
        <v>26</v>
      </c>
      <c r="C1240" t="s">
        <v>78</v>
      </c>
      <c r="D1240" t="s">
        <v>44</v>
      </c>
      <c r="E1240" t="s">
        <v>29</v>
      </c>
      <c r="F1240" t="s">
        <v>64</v>
      </c>
      <c r="G1240" t="s">
        <v>39</v>
      </c>
      <c r="H1240" t="s">
        <v>56</v>
      </c>
      <c r="I1240" t="s">
        <v>41</v>
      </c>
      <c r="J1240" s="2">
        <v>45165</v>
      </c>
      <c r="K1240" s="2">
        <v>45167</v>
      </c>
      <c r="L1240" s="2">
        <v>45174</v>
      </c>
      <c r="M1240" s="2">
        <v>45179</v>
      </c>
      <c r="N1240" s="2">
        <v>45185</v>
      </c>
      <c r="O1240">
        <v>1</v>
      </c>
      <c r="P1240">
        <v>1</v>
      </c>
      <c r="Q1240">
        <v>0</v>
      </c>
      <c r="R1240">
        <v>0</v>
      </c>
      <c r="S1240">
        <v>0</v>
      </c>
      <c r="T1240" t="s">
        <v>34</v>
      </c>
      <c r="U1240">
        <v>48</v>
      </c>
      <c r="W1240">
        <v>8</v>
      </c>
    </row>
    <row r="1241" spans="1:25">
      <c r="A1241" s="1" t="s">
        <v>1310</v>
      </c>
      <c r="B1241" t="s">
        <v>70</v>
      </c>
      <c r="C1241" t="s">
        <v>27</v>
      </c>
      <c r="D1241" t="s">
        <v>44</v>
      </c>
      <c r="E1241" t="s">
        <v>29</v>
      </c>
      <c r="F1241" t="s">
        <v>67</v>
      </c>
      <c r="G1241" t="s">
        <v>60</v>
      </c>
      <c r="H1241" t="s">
        <v>40</v>
      </c>
      <c r="I1241" t="s">
        <v>41</v>
      </c>
      <c r="J1241" s="2">
        <v>45138</v>
      </c>
      <c r="K1241" s="2">
        <v>45143</v>
      </c>
      <c r="L1241" s="2">
        <v>45150</v>
      </c>
      <c r="M1241" s="2">
        <v>45156</v>
      </c>
      <c r="N1241" s="2">
        <v>45163</v>
      </c>
      <c r="O1241">
        <v>1</v>
      </c>
      <c r="P1241">
        <v>1</v>
      </c>
      <c r="Q1241">
        <v>1</v>
      </c>
      <c r="R1241">
        <v>0</v>
      </c>
      <c r="S1241">
        <v>0</v>
      </c>
      <c r="T1241" t="s">
        <v>49</v>
      </c>
      <c r="U1241">
        <v>68</v>
      </c>
      <c r="W1241">
        <v>0</v>
      </c>
      <c r="X1241">
        <v>483151</v>
      </c>
      <c r="Y1241" t="s">
        <v>80</v>
      </c>
    </row>
    <row r="1242" spans="1:25">
      <c r="A1242" s="1" t="s">
        <v>1311</v>
      </c>
      <c r="B1242" t="s">
        <v>26</v>
      </c>
      <c r="C1242" t="s">
        <v>37</v>
      </c>
      <c r="D1242" t="s">
        <v>59</v>
      </c>
      <c r="E1242" t="s">
        <v>29</v>
      </c>
      <c r="F1242" t="s">
        <v>76</v>
      </c>
      <c r="G1242" t="s">
        <v>31</v>
      </c>
      <c r="H1242" t="s">
        <v>40</v>
      </c>
      <c r="I1242" t="s">
        <v>33</v>
      </c>
      <c r="J1242" s="2">
        <v>45391</v>
      </c>
      <c r="K1242" s="2">
        <v>45394</v>
      </c>
      <c r="L1242" s="2">
        <v>45401</v>
      </c>
      <c r="M1242" s="2">
        <v>45403</v>
      </c>
      <c r="N1242" s="2">
        <v>45409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74</v>
      </c>
      <c r="U1242">
        <v>73</v>
      </c>
      <c r="W1242">
        <v>1</v>
      </c>
    </row>
    <row r="1243" spans="1:25">
      <c r="A1243" s="1" t="s">
        <v>1312</v>
      </c>
      <c r="B1243" t="s">
        <v>90</v>
      </c>
      <c r="C1243" t="s">
        <v>78</v>
      </c>
      <c r="D1243" t="s">
        <v>28</v>
      </c>
      <c r="E1243" t="s">
        <v>63</v>
      </c>
      <c r="F1243" t="s">
        <v>64</v>
      </c>
      <c r="G1243" t="s">
        <v>39</v>
      </c>
      <c r="H1243" t="s">
        <v>56</v>
      </c>
      <c r="I1243" t="s">
        <v>41</v>
      </c>
      <c r="J1243" s="2">
        <v>45405</v>
      </c>
      <c r="K1243" s="2">
        <v>45406</v>
      </c>
      <c r="L1243" s="2">
        <v>45413</v>
      </c>
      <c r="M1243" s="2">
        <v>45417</v>
      </c>
      <c r="N1243" s="2">
        <v>45430</v>
      </c>
      <c r="O1243">
        <v>1</v>
      </c>
      <c r="P1243">
        <v>1</v>
      </c>
      <c r="Q1243">
        <v>1</v>
      </c>
      <c r="R1243">
        <v>0</v>
      </c>
      <c r="S1243">
        <v>0</v>
      </c>
      <c r="T1243" t="s">
        <v>49</v>
      </c>
      <c r="U1243">
        <v>62</v>
      </c>
      <c r="W1243">
        <v>7</v>
      </c>
      <c r="X1243">
        <v>1913728</v>
      </c>
      <c r="Y1243" t="s">
        <v>50</v>
      </c>
    </row>
    <row r="1244" spans="1:25">
      <c r="A1244" s="1" t="s">
        <v>1313</v>
      </c>
      <c r="B1244" t="s">
        <v>70</v>
      </c>
      <c r="C1244" t="s">
        <v>47</v>
      </c>
      <c r="D1244" t="s">
        <v>28</v>
      </c>
      <c r="E1244" t="s">
        <v>29</v>
      </c>
      <c r="F1244" t="s">
        <v>76</v>
      </c>
      <c r="G1244" t="s">
        <v>45</v>
      </c>
      <c r="H1244" t="s">
        <v>32</v>
      </c>
      <c r="I1244" t="s">
        <v>33</v>
      </c>
      <c r="J1244" s="2">
        <v>45075</v>
      </c>
      <c r="K1244" s="2">
        <v>45080</v>
      </c>
      <c r="L1244" s="2">
        <v>45085</v>
      </c>
      <c r="M1244" s="2">
        <v>45088</v>
      </c>
      <c r="N1244" s="2">
        <v>45112</v>
      </c>
      <c r="O1244">
        <v>1</v>
      </c>
      <c r="P1244">
        <v>1</v>
      </c>
      <c r="Q1244">
        <v>1</v>
      </c>
      <c r="R1244">
        <v>0</v>
      </c>
      <c r="S1244">
        <v>0</v>
      </c>
      <c r="T1244" t="s">
        <v>49</v>
      </c>
      <c r="U1244">
        <v>99</v>
      </c>
      <c r="W1244">
        <v>11</v>
      </c>
      <c r="X1244">
        <v>2238126</v>
      </c>
      <c r="Y1244" t="s">
        <v>127</v>
      </c>
    </row>
    <row r="1245" spans="1:25">
      <c r="A1245" s="1" t="s">
        <v>1314</v>
      </c>
      <c r="B1245" t="s">
        <v>58</v>
      </c>
      <c r="C1245" t="s">
        <v>71</v>
      </c>
      <c r="D1245" t="s">
        <v>59</v>
      </c>
      <c r="E1245" t="s">
        <v>66</v>
      </c>
      <c r="F1245" t="s">
        <v>64</v>
      </c>
      <c r="G1245" t="s">
        <v>60</v>
      </c>
      <c r="H1245" t="s">
        <v>40</v>
      </c>
      <c r="I1245" t="s">
        <v>33</v>
      </c>
      <c r="J1245" s="2">
        <v>45238</v>
      </c>
      <c r="K1245" s="2">
        <v>45241</v>
      </c>
      <c r="L1245" s="2">
        <v>45251</v>
      </c>
      <c r="M1245" s="2">
        <v>45257</v>
      </c>
      <c r="N1245" s="2">
        <v>45249</v>
      </c>
      <c r="O1245">
        <v>1</v>
      </c>
      <c r="P1245">
        <v>1</v>
      </c>
      <c r="Q1245">
        <v>1</v>
      </c>
      <c r="R1245">
        <v>0</v>
      </c>
      <c r="S1245">
        <v>1</v>
      </c>
      <c r="T1245" t="s">
        <v>49</v>
      </c>
      <c r="U1245">
        <v>73</v>
      </c>
      <c r="W1245">
        <v>5</v>
      </c>
      <c r="X1245">
        <v>1137996</v>
      </c>
      <c r="Y1245" t="s">
        <v>127</v>
      </c>
    </row>
    <row r="1246" spans="1:25">
      <c r="A1246" s="1" t="s">
        <v>1315</v>
      </c>
      <c r="B1246" t="s">
        <v>70</v>
      </c>
      <c r="C1246" t="s">
        <v>47</v>
      </c>
      <c r="D1246" t="s">
        <v>59</v>
      </c>
      <c r="E1246" t="s">
        <v>54</v>
      </c>
      <c r="F1246" t="s">
        <v>38</v>
      </c>
      <c r="G1246" t="s">
        <v>39</v>
      </c>
      <c r="H1246" t="s">
        <v>32</v>
      </c>
      <c r="I1246" t="s">
        <v>33</v>
      </c>
      <c r="J1246" s="2">
        <v>45322</v>
      </c>
      <c r="K1246" s="2">
        <v>45324</v>
      </c>
      <c r="L1246" s="2">
        <v>45329</v>
      </c>
      <c r="M1246" s="2">
        <v>45331</v>
      </c>
      <c r="N1246" s="2">
        <v>45345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74</v>
      </c>
      <c r="U1246">
        <v>70</v>
      </c>
      <c r="W1246">
        <v>15</v>
      </c>
    </row>
    <row r="1247" spans="1:25">
      <c r="A1247" s="1" t="s">
        <v>1316</v>
      </c>
      <c r="B1247" t="s">
        <v>26</v>
      </c>
      <c r="C1247" t="s">
        <v>37</v>
      </c>
      <c r="D1247" t="s">
        <v>44</v>
      </c>
      <c r="E1247" t="s">
        <v>29</v>
      </c>
      <c r="F1247" t="s">
        <v>30</v>
      </c>
      <c r="G1247" t="s">
        <v>55</v>
      </c>
      <c r="H1247" t="s">
        <v>56</v>
      </c>
      <c r="I1247" t="s">
        <v>33</v>
      </c>
      <c r="J1247" s="2">
        <v>45111</v>
      </c>
      <c r="K1247" s="2">
        <v>45115</v>
      </c>
      <c r="L1247" s="2">
        <v>45125</v>
      </c>
      <c r="M1247" s="2">
        <v>45130</v>
      </c>
      <c r="N1247" s="2">
        <v>45134</v>
      </c>
      <c r="O1247">
        <v>1</v>
      </c>
      <c r="P1247">
        <v>1</v>
      </c>
      <c r="Q1247">
        <v>1</v>
      </c>
      <c r="R1247">
        <v>1</v>
      </c>
      <c r="S1247">
        <v>0</v>
      </c>
      <c r="T1247" t="s">
        <v>61</v>
      </c>
      <c r="U1247">
        <v>99</v>
      </c>
      <c r="V1247">
        <v>23</v>
      </c>
      <c r="W1247">
        <v>2</v>
      </c>
      <c r="X1247">
        <v>637335</v>
      </c>
    </row>
    <row r="1248" spans="1:25">
      <c r="A1248" s="1" t="s">
        <v>1317</v>
      </c>
      <c r="B1248" t="s">
        <v>43</v>
      </c>
      <c r="C1248" t="s">
        <v>47</v>
      </c>
      <c r="D1248" t="s">
        <v>73</v>
      </c>
      <c r="E1248" t="s">
        <v>54</v>
      </c>
      <c r="F1248" t="s">
        <v>76</v>
      </c>
      <c r="G1248" t="s">
        <v>60</v>
      </c>
      <c r="H1248" t="s">
        <v>56</v>
      </c>
      <c r="I1248" t="s">
        <v>33</v>
      </c>
      <c r="J1248" s="2">
        <v>45319</v>
      </c>
      <c r="K1248" s="2">
        <v>45321</v>
      </c>
      <c r="L1248" s="2">
        <v>45328</v>
      </c>
      <c r="M1248" s="2">
        <v>45333</v>
      </c>
      <c r="N1248" s="2">
        <v>45339</v>
      </c>
      <c r="O1248">
        <v>1</v>
      </c>
      <c r="P1248">
        <v>1</v>
      </c>
      <c r="Q1248">
        <v>1</v>
      </c>
      <c r="R1248">
        <v>0</v>
      </c>
      <c r="S1248">
        <v>1</v>
      </c>
      <c r="T1248" t="s">
        <v>49</v>
      </c>
      <c r="U1248">
        <v>83</v>
      </c>
      <c r="W1248">
        <v>12</v>
      </c>
      <c r="X1248">
        <v>2216584</v>
      </c>
      <c r="Y1248" t="s">
        <v>87</v>
      </c>
    </row>
    <row r="1249" spans="1:25">
      <c r="A1249" s="1" t="s">
        <v>1318</v>
      </c>
      <c r="B1249" t="s">
        <v>36</v>
      </c>
      <c r="C1249" t="s">
        <v>27</v>
      </c>
      <c r="D1249" t="s">
        <v>52</v>
      </c>
      <c r="E1249" t="s">
        <v>66</v>
      </c>
      <c r="F1249" t="s">
        <v>76</v>
      </c>
      <c r="G1249" t="s">
        <v>45</v>
      </c>
      <c r="H1249" t="s">
        <v>56</v>
      </c>
      <c r="I1249" t="s">
        <v>33</v>
      </c>
      <c r="J1249" s="2">
        <v>45365</v>
      </c>
      <c r="K1249" s="2">
        <v>45367</v>
      </c>
      <c r="L1249" s="2">
        <v>45377</v>
      </c>
      <c r="M1249" s="2">
        <v>45381</v>
      </c>
      <c r="N1249" s="2">
        <v>45394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74</v>
      </c>
      <c r="U1249">
        <v>90</v>
      </c>
      <c r="W1249">
        <v>0</v>
      </c>
    </row>
    <row r="1250" spans="1:25">
      <c r="A1250" s="1" t="s">
        <v>1319</v>
      </c>
      <c r="B1250" t="s">
        <v>70</v>
      </c>
      <c r="C1250" t="s">
        <v>27</v>
      </c>
      <c r="D1250" t="s">
        <v>44</v>
      </c>
      <c r="E1250" t="s">
        <v>54</v>
      </c>
      <c r="F1250" t="s">
        <v>67</v>
      </c>
      <c r="G1250" t="s">
        <v>55</v>
      </c>
      <c r="H1250" t="s">
        <v>32</v>
      </c>
      <c r="I1250" t="s">
        <v>33</v>
      </c>
      <c r="J1250" s="2">
        <v>44964</v>
      </c>
      <c r="K1250" s="2">
        <v>44966</v>
      </c>
      <c r="L1250" s="2">
        <v>44975</v>
      </c>
      <c r="M1250" s="2">
        <v>44980</v>
      </c>
      <c r="N1250" s="2">
        <v>44994</v>
      </c>
      <c r="O1250">
        <v>1</v>
      </c>
      <c r="P1250">
        <v>1</v>
      </c>
      <c r="Q1250">
        <v>1</v>
      </c>
      <c r="R1250">
        <v>0</v>
      </c>
      <c r="S1250">
        <v>0</v>
      </c>
      <c r="T1250" t="s">
        <v>49</v>
      </c>
      <c r="U1250">
        <v>95</v>
      </c>
      <c r="W1250">
        <v>0</v>
      </c>
      <c r="X1250">
        <v>505598</v>
      </c>
      <c r="Y1250" t="s">
        <v>127</v>
      </c>
    </row>
    <row r="1251" spans="1:25">
      <c r="A1251" s="1" t="s">
        <v>1320</v>
      </c>
      <c r="B1251" t="s">
        <v>70</v>
      </c>
      <c r="C1251" t="s">
        <v>78</v>
      </c>
      <c r="D1251" t="s">
        <v>73</v>
      </c>
      <c r="E1251" t="s">
        <v>66</v>
      </c>
      <c r="F1251" t="s">
        <v>64</v>
      </c>
      <c r="G1251" t="s">
        <v>45</v>
      </c>
      <c r="H1251" t="s">
        <v>32</v>
      </c>
      <c r="I1251" t="s">
        <v>41</v>
      </c>
      <c r="J1251" s="2">
        <v>44996</v>
      </c>
      <c r="K1251" s="2">
        <v>44999</v>
      </c>
      <c r="L1251" s="2">
        <v>45008</v>
      </c>
      <c r="M1251" s="2">
        <v>45014</v>
      </c>
      <c r="N1251" s="2">
        <v>45027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74</v>
      </c>
      <c r="U1251">
        <v>58</v>
      </c>
      <c r="W1251">
        <v>7</v>
      </c>
    </row>
    <row r="1252" spans="1:25">
      <c r="A1252" s="1" t="s">
        <v>1321</v>
      </c>
      <c r="B1252" t="s">
        <v>26</v>
      </c>
      <c r="C1252" t="s">
        <v>27</v>
      </c>
      <c r="D1252" t="s">
        <v>59</v>
      </c>
      <c r="E1252" t="s">
        <v>63</v>
      </c>
      <c r="F1252" t="s">
        <v>64</v>
      </c>
      <c r="G1252" t="s">
        <v>31</v>
      </c>
      <c r="H1252" t="s">
        <v>56</v>
      </c>
      <c r="I1252" t="s">
        <v>41</v>
      </c>
      <c r="J1252" s="2">
        <v>44931</v>
      </c>
      <c r="K1252" s="2">
        <v>44934</v>
      </c>
      <c r="L1252" s="2">
        <v>44938</v>
      </c>
      <c r="M1252" s="2">
        <v>44943</v>
      </c>
      <c r="N1252" s="2">
        <v>44944</v>
      </c>
      <c r="O1252">
        <v>0</v>
      </c>
      <c r="P1252">
        <v>0</v>
      </c>
      <c r="Q1252">
        <v>0</v>
      </c>
      <c r="R1252">
        <v>0</v>
      </c>
      <c r="S1252">
        <v>0</v>
      </c>
      <c r="T1252" t="s">
        <v>74</v>
      </c>
      <c r="U1252">
        <v>80</v>
      </c>
      <c r="W1252">
        <v>2</v>
      </c>
    </row>
    <row r="1253" spans="1:25">
      <c r="A1253" s="1" t="s">
        <v>1322</v>
      </c>
      <c r="B1253" t="s">
        <v>70</v>
      </c>
      <c r="C1253" t="s">
        <v>71</v>
      </c>
      <c r="D1253" t="s">
        <v>44</v>
      </c>
      <c r="E1253" t="s">
        <v>29</v>
      </c>
      <c r="F1253" t="s">
        <v>64</v>
      </c>
      <c r="G1253" t="s">
        <v>39</v>
      </c>
      <c r="H1253" t="s">
        <v>40</v>
      </c>
      <c r="I1253" t="s">
        <v>41</v>
      </c>
      <c r="J1253" s="2">
        <v>45372</v>
      </c>
      <c r="K1253" s="2">
        <v>45373</v>
      </c>
      <c r="L1253" s="2">
        <v>45376</v>
      </c>
      <c r="M1253" s="2">
        <v>45383</v>
      </c>
      <c r="N1253" s="2">
        <v>45394</v>
      </c>
      <c r="O1253">
        <v>1</v>
      </c>
      <c r="P1253">
        <v>1</v>
      </c>
      <c r="Q1253">
        <v>1</v>
      </c>
      <c r="R1253">
        <v>1</v>
      </c>
      <c r="S1253">
        <v>0</v>
      </c>
      <c r="T1253" t="s">
        <v>61</v>
      </c>
      <c r="U1253">
        <v>89</v>
      </c>
      <c r="V1253">
        <v>22</v>
      </c>
      <c r="W1253">
        <v>7</v>
      </c>
      <c r="X1253">
        <v>1115933</v>
      </c>
    </row>
    <row r="1254" spans="1:25">
      <c r="A1254" s="1" t="s">
        <v>1323</v>
      </c>
      <c r="B1254" t="s">
        <v>26</v>
      </c>
      <c r="C1254" t="s">
        <v>27</v>
      </c>
      <c r="D1254" t="s">
        <v>73</v>
      </c>
      <c r="E1254" t="s">
        <v>29</v>
      </c>
      <c r="F1254" t="s">
        <v>48</v>
      </c>
      <c r="G1254" t="s">
        <v>60</v>
      </c>
      <c r="H1254" t="s">
        <v>32</v>
      </c>
      <c r="I1254" t="s">
        <v>41</v>
      </c>
      <c r="J1254" s="2">
        <v>45045</v>
      </c>
      <c r="K1254" s="2">
        <v>45048</v>
      </c>
      <c r="L1254" s="2">
        <v>45057</v>
      </c>
      <c r="M1254" s="2">
        <v>45063</v>
      </c>
      <c r="N1254" s="2">
        <v>45062</v>
      </c>
      <c r="O1254">
        <v>1</v>
      </c>
      <c r="P1254">
        <v>1</v>
      </c>
      <c r="Q1254">
        <v>1</v>
      </c>
      <c r="R1254">
        <v>0</v>
      </c>
      <c r="S1254">
        <v>0</v>
      </c>
      <c r="T1254" t="s">
        <v>49</v>
      </c>
      <c r="U1254">
        <v>94</v>
      </c>
      <c r="W1254">
        <v>1</v>
      </c>
      <c r="X1254">
        <v>663894</v>
      </c>
      <c r="Y1254" t="s">
        <v>87</v>
      </c>
    </row>
    <row r="1255" spans="1:25">
      <c r="A1255" s="1" t="s">
        <v>1324</v>
      </c>
      <c r="B1255" t="s">
        <v>26</v>
      </c>
      <c r="C1255" t="s">
        <v>78</v>
      </c>
      <c r="D1255" t="s">
        <v>44</v>
      </c>
      <c r="E1255" t="s">
        <v>102</v>
      </c>
      <c r="F1255" t="s">
        <v>38</v>
      </c>
      <c r="G1255" t="s">
        <v>60</v>
      </c>
      <c r="H1255" t="s">
        <v>32</v>
      </c>
      <c r="I1255" t="s">
        <v>33</v>
      </c>
      <c r="J1255" s="2">
        <v>45371</v>
      </c>
      <c r="K1255" s="2">
        <v>45373</v>
      </c>
      <c r="L1255" s="2">
        <v>45378</v>
      </c>
      <c r="M1255" s="2">
        <v>45383</v>
      </c>
      <c r="N1255" s="2">
        <v>45394</v>
      </c>
      <c r="O1255">
        <v>1</v>
      </c>
      <c r="P1255">
        <v>0</v>
      </c>
      <c r="Q1255">
        <v>0</v>
      </c>
      <c r="R1255">
        <v>0</v>
      </c>
      <c r="S1255">
        <v>0</v>
      </c>
      <c r="T1255" t="s">
        <v>34</v>
      </c>
      <c r="U1255">
        <v>54</v>
      </c>
      <c r="W1255">
        <v>8</v>
      </c>
    </row>
    <row r="1256" spans="1:25">
      <c r="A1256" s="1" t="s">
        <v>1325</v>
      </c>
      <c r="B1256" t="s">
        <v>43</v>
      </c>
      <c r="C1256" t="s">
        <v>78</v>
      </c>
      <c r="D1256" t="s">
        <v>44</v>
      </c>
      <c r="E1256" t="s">
        <v>29</v>
      </c>
      <c r="F1256" t="s">
        <v>38</v>
      </c>
      <c r="G1256" t="s">
        <v>39</v>
      </c>
      <c r="H1256" t="s">
        <v>40</v>
      </c>
      <c r="I1256" t="s">
        <v>41</v>
      </c>
      <c r="J1256" s="2">
        <v>45306</v>
      </c>
      <c r="K1256" s="2">
        <v>45308</v>
      </c>
      <c r="L1256" s="2">
        <v>45316</v>
      </c>
      <c r="M1256" s="2">
        <v>45318</v>
      </c>
      <c r="N1256" s="2">
        <v>45323</v>
      </c>
      <c r="O1256">
        <v>1</v>
      </c>
      <c r="P1256">
        <v>1</v>
      </c>
      <c r="Q1256">
        <v>0</v>
      </c>
      <c r="R1256">
        <v>0</v>
      </c>
      <c r="S1256">
        <v>0</v>
      </c>
      <c r="T1256" t="s">
        <v>34</v>
      </c>
      <c r="U1256">
        <v>47</v>
      </c>
      <c r="W1256">
        <v>8</v>
      </c>
    </row>
    <row r="1257" spans="1:25">
      <c r="A1257" s="1" t="s">
        <v>1326</v>
      </c>
      <c r="B1257" t="s">
        <v>70</v>
      </c>
      <c r="C1257" t="s">
        <v>78</v>
      </c>
      <c r="D1257" t="s">
        <v>59</v>
      </c>
      <c r="E1257" t="s">
        <v>102</v>
      </c>
      <c r="F1257" t="s">
        <v>67</v>
      </c>
      <c r="G1257" t="s">
        <v>39</v>
      </c>
      <c r="H1257" t="s">
        <v>32</v>
      </c>
      <c r="I1257" t="s">
        <v>41</v>
      </c>
      <c r="J1257" s="2">
        <v>44962</v>
      </c>
      <c r="K1257" s="2">
        <v>44967</v>
      </c>
      <c r="L1257" s="2">
        <v>44971</v>
      </c>
      <c r="M1257" s="2">
        <v>44976</v>
      </c>
      <c r="N1257" s="2">
        <v>44999</v>
      </c>
      <c r="O1257">
        <v>1</v>
      </c>
      <c r="P1257">
        <v>1</v>
      </c>
      <c r="Q1257">
        <v>1</v>
      </c>
      <c r="R1257">
        <v>0</v>
      </c>
      <c r="S1257">
        <v>0</v>
      </c>
      <c r="T1257" t="s">
        <v>49</v>
      </c>
      <c r="U1257">
        <v>99</v>
      </c>
      <c r="W1257">
        <v>7</v>
      </c>
      <c r="X1257">
        <v>1895908</v>
      </c>
      <c r="Y1257" t="s">
        <v>50</v>
      </c>
    </row>
    <row r="1258" spans="1:25">
      <c r="A1258" s="1" t="s">
        <v>1327</v>
      </c>
      <c r="B1258" t="s">
        <v>43</v>
      </c>
      <c r="C1258" t="s">
        <v>78</v>
      </c>
      <c r="D1258" t="s">
        <v>52</v>
      </c>
      <c r="E1258" t="s">
        <v>102</v>
      </c>
      <c r="F1258" t="s">
        <v>30</v>
      </c>
      <c r="G1258" t="s">
        <v>31</v>
      </c>
      <c r="H1258" t="s">
        <v>32</v>
      </c>
      <c r="I1258" t="s">
        <v>41</v>
      </c>
      <c r="J1258" s="2">
        <v>44991</v>
      </c>
      <c r="K1258" s="2">
        <v>44993</v>
      </c>
      <c r="L1258" s="2">
        <v>44999</v>
      </c>
      <c r="M1258" s="2">
        <v>45002</v>
      </c>
      <c r="N1258" s="2">
        <v>45011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74</v>
      </c>
      <c r="U1258">
        <v>52</v>
      </c>
      <c r="W1258">
        <v>7</v>
      </c>
    </row>
    <row r="1259" spans="1:25">
      <c r="A1259" s="1" t="s">
        <v>1328</v>
      </c>
      <c r="B1259" t="s">
        <v>90</v>
      </c>
      <c r="C1259" t="s">
        <v>37</v>
      </c>
      <c r="D1259" t="s">
        <v>73</v>
      </c>
      <c r="E1259" t="s">
        <v>102</v>
      </c>
      <c r="F1259" t="s">
        <v>48</v>
      </c>
      <c r="G1259" t="s">
        <v>45</v>
      </c>
      <c r="H1259" t="s">
        <v>32</v>
      </c>
      <c r="I1259" t="s">
        <v>41</v>
      </c>
      <c r="J1259" s="2">
        <v>45228</v>
      </c>
      <c r="K1259" s="2">
        <v>45231</v>
      </c>
      <c r="L1259" s="2">
        <v>45240</v>
      </c>
      <c r="M1259" s="2">
        <v>45244</v>
      </c>
      <c r="N1259" s="2">
        <v>45263</v>
      </c>
      <c r="O1259">
        <v>1</v>
      </c>
      <c r="P1259">
        <v>1</v>
      </c>
      <c r="Q1259">
        <v>1</v>
      </c>
      <c r="R1259">
        <v>1</v>
      </c>
      <c r="S1259">
        <v>0</v>
      </c>
      <c r="T1259" t="s">
        <v>61</v>
      </c>
      <c r="U1259">
        <v>87</v>
      </c>
      <c r="V1259">
        <v>35</v>
      </c>
      <c r="W1259">
        <v>2</v>
      </c>
      <c r="X1259">
        <v>629650</v>
      </c>
    </row>
    <row r="1260" spans="1:25">
      <c r="A1260" s="1" t="s">
        <v>1329</v>
      </c>
      <c r="B1260" t="s">
        <v>36</v>
      </c>
      <c r="C1260" t="s">
        <v>27</v>
      </c>
      <c r="D1260" t="s">
        <v>28</v>
      </c>
      <c r="E1260" t="s">
        <v>63</v>
      </c>
      <c r="F1260" t="s">
        <v>67</v>
      </c>
      <c r="G1260" t="s">
        <v>31</v>
      </c>
      <c r="H1260" t="s">
        <v>32</v>
      </c>
      <c r="I1260" t="s">
        <v>41</v>
      </c>
      <c r="J1260" s="2">
        <v>45469</v>
      </c>
      <c r="K1260" s="2">
        <v>45473</v>
      </c>
      <c r="L1260" s="2">
        <v>45476</v>
      </c>
      <c r="M1260" s="2">
        <v>45480</v>
      </c>
      <c r="N1260" s="2">
        <v>45488</v>
      </c>
      <c r="O1260">
        <v>1</v>
      </c>
      <c r="P1260">
        <v>1</v>
      </c>
      <c r="Q1260">
        <v>1</v>
      </c>
      <c r="R1260">
        <v>0</v>
      </c>
      <c r="S1260">
        <v>0</v>
      </c>
      <c r="T1260" t="s">
        <v>49</v>
      </c>
      <c r="U1260">
        <v>74</v>
      </c>
      <c r="W1260">
        <v>2</v>
      </c>
      <c r="X1260">
        <v>664670</v>
      </c>
      <c r="Y1260" t="s">
        <v>50</v>
      </c>
    </row>
    <row r="1261" spans="1:25">
      <c r="A1261" s="1" t="s">
        <v>1330</v>
      </c>
      <c r="B1261" t="s">
        <v>70</v>
      </c>
      <c r="C1261" t="s">
        <v>47</v>
      </c>
      <c r="D1261" t="s">
        <v>52</v>
      </c>
      <c r="E1261" t="s">
        <v>63</v>
      </c>
      <c r="F1261" t="s">
        <v>38</v>
      </c>
      <c r="G1261" t="s">
        <v>39</v>
      </c>
      <c r="H1261" t="s">
        <v>32</v>
      </c>
      <c r="I1261" t="s">
        <v>41</v>
      </c>
      <c r="J1261" s="2">
        <v>45393</v>
      </c>
      <c r="K1261" s="2">
        <v>45398</v>
      </c>
      <c r="L1261" s="2">
        <v>45401</v>
      </c>
      <c r="M1261" s="2">
        <v>45405</v>
      </c>
      <c r="N1261" s="2">
        <v>45422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74</v>
      </c>
      <c r="U1261">
        <v>79</v>
      </c>
      <c r="W1261">
        <v>10</v>
      </c>
    </row>
    <row r="1262" spans="1:25">
      <c r="A1262" s="1" t="s">
        <v>1331</v>
      </c>
      <c r="B1262" t="s">
        <v>43</v>
      </c>
      <c r="C1262" t="s">
        <v>37</v>
      </c>
      <c r="D1262" t="s">
        <v>59</v>
      </c>
      <c r="E1262" t="s">
        <v>29</v>
      </c>
      <c r="F1262" t="s">
        <v>76</v>
      </c>
      <c r="G1262" t="s">
        <v>55</v>
      </c>
      <c r="H1262" t="s">
        <v>32</v>
      </c>
      <c r="I1262" t="s">
        <v>41</v>
      </c>
      <c r="J1262" s="2">
        <v>45430</v>
      </c>
      <c r="K1262" s="2">
        <v>45433</v>
      </c>
      <c r="L1262" s="2">
        <v>45443</v>
      </c>
      <c r="M1262" s="2">
        <v>45448</v>
      </c>
      <c r="N1262" s="2">
        <v>45450</v>
      </c>
      <c r="O1262">
        <v>1</v>
      </c>
      <c r="P1262">
        <v>1</v>
      </c>
      <c r="Q1262">
        <v>1</v>
      </c>
      <c r="R1262">
        <v>0</v>
      </c>
      <c r="S1262">
        <v>1</v>
      </c>
      <c r="T1262" t="s">
        <v>49</v>
      </c>
      <c r="U1262">
        <v>74</v>
      </c>
      <c r="W1262">
        <v>4</v>
      </c>
      <c r="X1262">
        <v>517870</v>
      </c>
      <c r="Y1262" t="s">
        <v>50</v>
      </c>
    </row>
    <row r="1263" spans="1:25">
      <c r="A1263" s="1" t="s">
        <v>1332</v>
      </c>
      <c r="B1263" t="s">
        <v>36</v>
      </c>
      <c r="C1263" t="s">
        <v>37</v>
      </c>
      <c r="D1263" t="s">
        <v>44</v>
      </c>
      <c r="E1263" t="s">
        <v>66</v>
      </c>
      <c r="F1263" t="s">
        <v>76</v>
      </c>
      <c r="G1263" t="s">
        <v>31</v>
      </c>
      <c r="H1263" t="s">
        <v>32</v>
      </c>
      <c r="I1263" t="s">
        <v>41</v>
      </c>
      <c r="J1263" s="2">
        <v>45355</v>
      </c>
      <c r="K1263" s="2">
        <v>45356</v>
      </c>
      <c r="L1263" s="2">
        <v>45365</v>
      </c>
      <c r="M1263" s="2">
        <v>45372</v>
      </c>
      <c r="N1263" s="2">
        <v>45380</v>
      </c>
      <c r="O1263">
        <v>1</v>
      </c>
      <c r="P1263">
        <v>1</v>
      </c>
      <c r="Q1263">
        <v>0</v>
      </c>
      <c r="R1263">
        <v>0</v>
      </c>
      <c r="S1263">
        <v>0</v>
      </c>
      <c r="T1263" t="s">
        <v>34</v>
      </c>
      <c r="U1263">
        <v>47</v>
      </c>
      <c r="W1263">
        <v>3</v>
      </c>
    </row>
    <row r="1264" spans="1:25">
      <c r="A1264" s="1" t="s">
        <v>1333</v>
      </c>
      <c r="B1264" t="s">
        <v>26</v>
      </c>
      <c r="C1264" t="s">
        <v>78</v>
      </c>
      <c r="D1264" t="s">
        <v>73</v>
      </c>
      <c r="E1264" t="s">
        <v>102</v>
      </c>
      <c r="F1264" t="s">
        <v>67</v>
      </c>
      <c r="G1264" t="s">
        <v>55</v>
      </c>
      <c r="H1264" t="s">
        <v>40</v>
      </c>
      <c r="I1264" t="s">
        <v>41</v>
      </c>
      <c r="J1264" s="2">
        <v>45314</v>
      </c>
      <c r="K1264" s="2">
        <v>45315</v>
      </c>
      <c r="L1264" s="2">
        <v>45323</v>
      </c>
      <c r="M1264" s="2">
        <v>45328</v>
      </c>
      <c r="N1264" s="2">
        <v>45331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74</v>
      </c>
      <c r="U1264">
        <v>63</v>
      </c>
      <c r="W1264">
        <v>6</v>
      </c>
    </row>
    <row r="1265" spans="1:25">
      <c r="A1265" s="1" t="s">
        <v>1334</v>
      </c>
      <c r="B1265" t="s">
        <v>26</v>
      </c>
      <c r="C1265" t="s">
        <v>71</v>
      </c>
      <c r="D1265" t="s">
        <v>52</v>
      </c>
      <c r="E1265" t="s">
        <v>29</v>
      </c>
      <c r="F1265" t="s">
        <v>64</v>
      </c>
      <c r="G1265" t="s">
        <v>55</v>
      </c>
      <c r="H1265" t="s">
        <v>32</v>
      </c>
      <c r="I1265" t="s">
        <v>33</v>
      </c>
      <c r="J1265" s="2">
        <v>44993</v>
      </c>
      <c r="K1265" s="2">
        <v>44998</v>
      </c>
      <c r="L1265" s="2">
        <v>45001</v>
      </c>
      <c r="M1265" s="2">
        <v>45007</v>
      </c>
      <c r="N1265" s="2">
        <v>45013</v>
      </c>
      <c r="O1265">
        <v>1</v>
      </c>
      <c r="P1265">
        <v>1</v>
      </c>
      <c r="Q1265">
        <v>1</v>
      </c>
      <c r="R1265">
        <v>0</v>
      </c>
      <c r="S1265">
        <v>0</v>
      </c>
      <c r="T1265" t="s">
        <v>49</v>
      </c>
      <c r="U1265">
        <v>67</v>
      </c>
      <c r="W1265">
        <v>5</v>
      </c>
      <c r="X1265">
        <v>1121242</v>
      </c>
      <c r="Y1265" t="s">
        <v>50</v>
      </c>
    </row>
    <row r="1266" spans="1:25">
      <c r="A1266" s="1" t="s">
        <v>1335</v>
      </c>
      <c r="B1266" t="s">
        <v>70</v>
      </c>
      <c r="C1266" t="s">
        <v>27</v>
      </c>
      <c r="D1266" t="s">
        <v>59</v>
      </c>
      <c r="E1266" t="s">
        <v>54</v>
      </c>
      <c r="F1266" t="s">
        <v>48</v>
      </c>
      <c r="G1266" t="s">
        <v>45</v>
      </c>
      <c r="H1266" t="s">
        <v>56</v>
      </c>
      <c r="I1266" t="s">
        <v>41</v>
      </c>
      <c r="J1266" s="2">
        <v>45042</v>
      </c>
      <c r="K1266" s="2">
        <v>45043</v>
      </c>
      <c r="L1266" s="2">
        <v>45046</v>
      </c>
      <c r="M1266" s="2">
        <v>45052</v>
      </c>
      <c r="N1266" s="2">
        <v>45082</v>
      </c>
      <c r="O1266">
        <v>1</v>
      </c>
      <c r="P1266">
        <v>1</v>
      </c>
      <c r="Q1266">
        <v>1</v>
      </c>
      <c r="R1266">
        <v>0</v>
      </c>
      <c r="S1266">
        <v>1</v>
      </c>
      <c r="T1266" t="s">
        <v>49</v>
      </c>
      <c r="U1266">
        <v>90</v>
      </c>
      <c r="W1266">
        <v>1</v>
      </c>
      <c r="X1266">
        <v>460549</v>
      </c>
      <c r="Y1266" t="s">
        <v>127</v>
      </c>
    </row>
    <row r="1267" spans="1:25">
      <c r="A1267" s="1" t="s">
        <v>1336</v>
      </c>
      <c r="B1267" t="s">
        <v>26</v>
      </c>
      <c r="C1267" t="s">
        <v>71</v>
      </c>
      <c r="D1267" t="s">
        <v>52</v>
      </c>
      <c r="E1267" t="s">
        <v>102</v>
      </c>
      <c r="F1267" t="s">
        <v>38</v>
      </c>
      <c r="G1267" t="s">
        <v>45</v>
      </c>
      <c r="H1267" t="s">
        <v>40</v>
      </c>
      <c r="I1267" t="s">
        <v>33</v>
      </c>
      <c r="J1267" s="2">
        <v>45185</v>
      </c>
      <c r="K1267" s="2">
        <v>45187</v>
      </c>
      <c r="L1267" s="2">
        <v>45190</v>
      </c>
      <c r="M1267" s="2">
        <v>45193</v>
      </c>
      <c r="N1267" s="2">
        <v>45210</v>
      </c>
      <c r="O1267">
        <v>1</v>
      </c>
      <c r="P1267">
        <v>1</v>
      </c>
      <c r="Q1267">
        <v>0</v>
      </c>
      <c r="R1267">
        <v>0</v>
      </c>
      <c r="S1267">
        <v>0</v>
      </c>
      <c r="T1267" t="s">
        <v>34</v>
      </c>
      <c r="U1267">
        <v>89</v>
      </c>
      <c r="W1267">
        <v>4</v>
      </c>
    </row>
    <row r="1268" spans="1:25">
      <c r="A1268" s="1" t="s">
        <v>1337</v>
      </c>
      <c r="B1268" t="s">
        <v>43</v>
      </c>
      <c r="C1268" t="s">
        <v>47</v>
      </c>
      <c r="D1268" t="s">
        <v>73</v>
      </c>
      <c r="E1268" t="s">
        <v>66</v>
      </c>
      <c r="F1268" t="s">
        <v>48</v>
      </c>
      <c r="G1268" t="s">
        <v>31</v>
      </c>
      <c r="H1268" t="s">
        <v>40</v>
      </c>
      <c r="I1268" t="s">
        <v>41</v>
      </c>
      <c r="J1268" s="2">
        <v>45358</v>
      </c>
      <c r="K1268" s="2">
        <v>45363</v>
      </c>
      <c r="L1268" s="2">
        <v>45372</v>
      </c>
      <c r="M1268" s="2">
        <v>45375</v>
      </c>
      <c r="N1268" s="2">
        <v>45374</v>
      </c>
      <c r="O1268">
        <v>1</v>
      </c>
      <c r="P1268">
        <v>1</v>
      </c>
      <c r="Q1268">
        <v>0</v>
      </c>
      <c r="R1268">
        <v>0</v>
      </c>
      <c r="S1268">
        <v>0</v>
      </c>
      <c r="T1268" t="s">
        <v>34</v>
      </c>
      <c r="U1268">
        <v>66</v>
      </c>
      <c r="W1268">
        <v>10</v>
      </c>
    </row>
    <row r="1269" spans="1:25">
      <c r="A1269" s="1" t="s">
        <v>1338</v>
      </c>
      <c r="B1269" t="s">
        <v>26</v>
      </c>
      <c r="C1269" t="s">
        <v>71</v>
      </c>
      <c r="D1269" t="s">
        <v>73</v>
      </c>
      <c r="E1269" t="s">
        <v>54</v>
      </c>
      <c r="F1269" t="s">
        <v>76</v>
      </c>
      <c r="G1269" t="s">
        <v>45</v>
      </c>
      <c r="H1269" t="s">
        <v>40</v>
      </c>
      <c r="I1269" t="s">
        <v>33</v>
      </c>
      <c r="J1269" s="2">
        <v>45046</v>
      </c>
      <c r="K1269" s="2">
        <v>45051</v>
      </c>
      <c r="L1269" s="2">
        <v>45059</v>
      </c>
      <c r="M1269" s="2">
        <v>45061</v>
      </c>
      <c r="N1269" s="2">
        <v>45059</v>
      </c>
      <c r="O1269">
        <v>1</v>
      </c>
      <c r="P1269">
        <v>0</v>
      </c>
      <c r="Q1269">
        <v>0</v>
      </c>
      <c r="R1269">
        <v>0</v>
      </c>
      <c r="S1269">
        <v>0</v>
      </c>
      <c r="T1269" t="s">
        <v>34</v>
      </c>
      <c r="U1269">
        <v>49</v>
      </c>
      <c r="W1269">
        <v>4</v>
      </c>
    </row>
    <row r="1270" spans="1:25">
      <c r="A1270" s="1" t="s">
        <v>1339</v>
      </c>
      <c r="B1270" t="s">
        <v>58</v>
      </c>
      <c r="C1270" t="s">
        <v>78</v>
      </c>
      <c r="D1270" t="s">
        <v>59</v>
      </c>
      <c r="E1270" t="s">
        <v>63</v>
      </c>
      <c r="F1270" t="s">
        <v>67</v>
      </c>
      <c r="G1270" t="s">
        <v>45</v>
      </c>
      <c r="H1270" t="s">
        <v>32</v>
      </c>
      <c r="I1270" t="s">
        <v>33</v>
      </c>
      <c r="J1270" s="2">
        <v>44966</v>
      </c>
      <c r="K1270" s="2">
        <v>44968</v>
      </c>
      <c r="L1270" s="2">
        <v>44972</v>
      </c>
      <c r="M1270" s="2">
        <v>44978</v>
      </c>
      <c r="N1270" s="2">
        <v>44978</v>
      </c>
      <c r="O1270">
        <v>1</v>
      </c>
      <c r="P1270">
        <v>1</v>
      </c>
      <c r="Q1270">
        <v>0</v>
      </c>
      <c r="R1270">
        <v>0</v>
      </c>
      <c r="S1270">
        <v>0</v>
      </c>
      <c r="T1270" t="s">
        <v>34</v>
      </c>
      <c r="U1270">
        <v>68</v>
      </c>
      <c r="W1270">
        <v>8</v>
      </c>
    </row>
    <row r="1271" spans="1:25">
      <c r="A1271" s="1" t="s">
        <v>1340</v>
      </c>
      <c r="B1271" t="s">
        <v>90</v>
      </c>
      <c r="C1271" t="s">
        <v>71</v>
      </c>
      <c r="D1271" t="s">
        <v>44</v>
      </c>
      <c r="E1271" t="s">
        <v>102</v>
      </c>
      <c r="F1271" t="s">
        <v>76</v>
      </c>
      <c r="G1271" t="s">
        <v>55</v>
      </c>
      <c r="H1271" t="s">
        <v>32</v>
      </c>
      <c r="I1271" t="s">
        <v>41</v>
      </c>
      <c r="J1271" s="2">
        <v>44929</v>
      </c>
      <c r="K1271" s="2">
        <v>44931</v>
      </c>
      <c r="L1271" s="2">
        <v>44939</v>
      </c>
      <c r="M1271" s="2">
        <v>44942</v>
      </c>
      <c r="N1271" s="2">
        <v>44948</v>
      </c>
      <c r="O1271">
        <v>1</v>
      </c>
      <c r="P1271">
        <v>1</v>
      </c>
      <c r="Q1271">
        <v>0</v>
      </c>
      <c r="R1271">
        <v>0</v>
      </c>
      <c r="S1271">
        <v>0</v>
      </c>
      <c r="T1271" t="s">
        <v>34</v>
      </c>
      <c r="U1271">
        <v>58</v>
      </c>
      <c r="W1271">
        <v>5</v>
      </c>
    </row>
    <row r="1272" spans="1:25">
      <c r="A1272" s="1" t="s">
        <v>1341</v>
      </c>
      <c r="B1272" t="s">
        <v>70</v>
      </c>
      <c r="C1272" t="s">
        <v>71</v>
      </c>
      <c r="D1272" t="s">
        <v>44</v>
      </c>
      <c r="E1272" t="s">
        <v>54</v>
      </c>
      <c r="F1272" t="s">
        <v>67</v>
      </c>
      <c r="G1272" t="s">
        <v>39</v>
      </c>
      <c r="H1272" t="s">
        <v>56</v>
      </c>
      <c r="I1272" t="s">
        <v>41</v>
      </c>
      <c r="J1272" s="2">
        <v>45362</v>
      </c>
      <c r="K1272" s="2">
        <v>45363</v>
      </c>
      <c r="L1272" s="2">
        <v>45373</v>
      </c>
      <c r="M1272" s="2">
        <v>45380</v>
      </c>
      <c r="N1272" s="2">
        <v>45396</v>
      </c>
      <c r="O1272">
        <v>0</v>
      </c>
      <c r="P1272">
        <v>0</v>
      </c>
      <c r="Q1272">
        <v>0</v>
      </c>
      <c r="R1272">
        <v>0</v>
      </c>
      <c r="S1272">
        <v>0</v>
      </c>
      <c r="T1272" t="s">
        <v>74</v>
      </c>
      <c r="U1272">
        <v>51</v>
      </c>
      <c r="W1272">
        <v>3</v>
      </c>
    </row>
    <row r="1273" spans="1:25">
      <c r="A1273" s="1" t="s">
        <v>1342</v>
      </c>
      <c r="B1273" t="s">
        <v>26</v>
      </c>
      <c r="C1273" t="s">
        <v>78</v>
      </c>
      <c r="D1273" t="s">
        <v>52</v>
      </c>
      <c r="E1273" t="s">
        <v>63</v>
      </c>
      <c r="F1273" t="s">
        <v>48</v>
      </c>
      <c r="G1273" t="s">
        <v>60</v>
      </c>
      <c r="H1273" t="s">
        <v>40</v>
      </c>
      <c r="I1273" t="s">
        <v>41</v>
      </c>
      <c r="J1273" s="2">
        <v>45332</v>
      </c>
      <c r="K1273" s="2">
        <v>45335</v>
      </c>
      <c r="L1273" s="2">
        <v>45343</v>
      </c>
      <c r="M1273" s="2">
        <v>45345</v>
      </c>
      <c r="N1273" s="2">
        <v>45355</v>
      </c>
      <c r="O1273">
        <v>1</v>
      </c>
      <c r="P1273">
        <v>1</v>
      </c>
      <c r="Q1273">
        <v>0</v>
      </c>
      <c r="R1273">
        <v>0</v>
      </c>
      <c r="S1273">
        <v>1</v>
      </c>
      <c r="T1273" t="s">
        <v>34</v>
      </c>
      <c r="U1273">
        <v>64</v>
      </c>
      <c r="W1273">
        <v>10</v>
      </c>
    </row>
    <row r="1274" spans="1:25">
      <c r="A1274" s="1" t="s">
        <v>1343</v>
      </c>
      <c r="B1274" t="s">
        <v>26</v>
      </c>
      <c r="C1274" t="s">
        <v>27</v>
      </c>
      <c r="D1274" t="s">
        <v>44</v>
      </c>
      <c r="E1274" t="s">
        <v>63</v>
      </c>
      <c r="F1274" t="s">
        <v>48</v>
      </c>
      <c r="G1274" t="s">
        <v>39</v>
      </c>
      <c r="H1274" t="s">
        <v>40</v>
      </c>
      <c r="I1274" t="s">
        <v>33</v>
      </c>
      <c r="J1274" s="2">
        <v>44993</v>
      </c>
      <c r="K1274" s="2">
        <v>44997</v>
      </c>
      <c r="L1274" s="2">
        <v>45001</v>
      </c>
      <c r="M1274" s="2">
        <v>45004</v>
      </c>
      <c r="N1274" s="2">
        <v>45006</v>
      </c>
      <c r="O1274">
        <v>1</v>
      </c>
      <c r="P1274">
        <v>0</v>
      </c>
      <c r="Q1274">
        <v>0</v>
      </c>
      <c r="R1274">
        <v>0</v>
      </c>
      <c r="S1274">
        <v>0</v>
      </c>
      <c r="T1274" t="s">
        <v>34</v>
      </c>
      <c r="U1274">
        <v>48</v>
      </c>
      <c r="W1274">
        <v>1</v>
      </c>
    </row>
    <row r="1275" spans="1:25">
      <c r="A1275" s="1" t="s">
        <v>1344</v>
      </c>
      <c r="B1275" t="s">
        <v>90</v>
      </c>
      <c r="C1275" t="s">
        <v>47</v>
      </c>
      <c r="D1275" t="s">
        <v>44</v>
      </c>
      <c r="E1275" t="s">
        <v>29</v>
      </c>
      <c r="F1275" t="s">
        <v>67</v>
      </c>
      <c r="G1275" t="s">
        <v>39</v>
      </c>
      <c r="H1275" t="s">
        <v>56</v>
      </c>
      <c r="I1275" t="s">
        <v>41</v>
      </c>
      <c r="J1275" s="2">
        <v>45141</v>
      </c>
      <c r="K1275" s="2">
        <v>45143</v>
      </c>
      <c r="L1275" s="2">
        <v>45146</v>
      </c>
      <c r="M1275" s="2">
        <v>45151</v>
      </c>
      <c r="N1275" s="2">
        <v>45163</v>
      </c>
      <c r="O1275">
        <v>1</v>
      </c>
      <c r="P1275">
        <v>1</v>
      </c>
      <c r="Q1275">
        <v>1</v>
      </c>
      <c r="R1275">
        <v>1</v>
      </c>
      <c r="S1275">
        <v>0</v>
      </c>
      <c r="T1275" t="s">
        <v>61</v>
      </c>
      <c r="U1275">
        <v>86</v>
      </c>
      <c r="V1275">
        <v>22</v>
      </c>
      <c r="W1275">
        <v>14</v>
      </c>
      <c r="X1275">
        <v>2541027</v>
      </c>
    </row>
    <row r="1276" spans="1:25">
      <c r="A1276" s="1" t="s">
        <v>1345</v>
      </c>
      <c r="B1276" t="s">
        <v>70</v>
      </c>
      <c r="C1276" t="s">
        <v>78</v>
      </c>
      <c r="D1276" t="s">
        <v>28</v>
      </c>
      <c r="E1276" t="s">
        <v>66</v>
      </c>
      <c r="F1276" t="s">
        <v>76</v>
      </c>
      <c r="G1276" t="s">
        <v>60</v>
      </c>
      <c r="H1276" t="s">
        <v>32</v>
      </c>
      <c r="I1276" t="s">
        <v>41</v>
      </c>
      <c r="J1276" s="2">
        <v>44986</v>
      </c>
      <c r="K1276" s="2">
        <v>44987</v>
      </c>
      <c r="L1276" s="2">
        <v>44995</v>
      </c>
      <c r="M1276" s="2">
        <v>44998</v>
      </c>
      <c r="N1276" s="2">
        <v>45025</v>
      </c>
      <c r="O1276">
        <v>1</v>
      </c>
      <c r="P1276">
        <v>1</v>
      </c>
      <c r="Q1276">
        <v>0</v>
      </c>
      <c r="R1276">
        <v>0</v>
      </c>
      <c r="S1276">
        <v>0</v>
      </c>
      <c r="T1276" t="s">
        <v>34</v>
      </c>
      <c r="U1276">
        <v>67</v>
      </c>
      <c r="W1276">
        <v>7</v>
      </c>
    </row>
    <row r="1277" spans="1:25">
      <c r="A1277" s="1" t="s">
        <v>1346</v>
      </c>
      <c r="B1277" t="s">
        <v>70</v>
      </c>
      <c r="C1277" t="s">
        <v>71</v>
      </c>
      <c r="D1277" t="s">
        <v>44</v>
      </c>
      <c r="E1277" t="s">
        <v>29</v>
      </c>
      <c r="F1277" t="s">
        <v>76</v>
      </c>
      <c r="G1277" t="s">
        <v>55</v>
      </c>
      <c r="H1277" t="s">
        <v>40</v>
      </c>
      <c r="I1277" t="s">
        <v>33</v>
      </c>
      <c r="J1277" s="2">
        <v>45066</v>
      </c>
      <c r="K1277" s="2">
        <v>45071</v>
      </c>
      <c r="L1277" s="2">
        <v>45080</v>
      </c>
      <c r="M1277" s="2">
        <v>45082</v>
      </c>
      <c r="N1277" s="2">
        <v>45094</v>
      </c>
      <c r="O1277">
        <v>1</v>
      </c>
      <c r="P1277">
        <v>1</v>
      </c>
      <c r="Q1277">
        <v>1</v>
      </c>
      <c r="R1277">
        <v>1</v>
      </c>
      <c r="S1277">
        <v>0</v>
      </c>
      <c r="T1277" t="s">
        <v>61</v>
      </c>
      <c r="U1277">
        <v>96</v>
      </c>
      <c r="V1277">
        <v>28</v>
      </c>
      <c r="W1277">
        <v>5</v>
      </c>
      <c r="X1277">
        <v>1185231</v>
      </c>
    </row>
    <row r="1278" spans="1:25">
      <c r="A1278" s="1" t="s">
        <v>1347</v>
      </c>
      <c r="B1278" t="s">
        <v>70</v>
      </c>
      <c r="C1278" t="s">
        <v>47</v>
      </c>
      <c r="D1278" t="s">
        <v>44</v>
      </c>
      <c r="E1278" t="s">
        <v>29</v>
      </c>
      <c r="F1278" t="s">
        <v>64</v>
      </c>
      <c r="G1278" t="s">
        <v>45</v>
      </c>
      <c r="H1278" t="s">
        <v>32</v>
      </c>
      <c r="I1278" t="s">
        <v>41</v>
      </c>
      <c r="J1278" s="2">
        <v>45299</v>
      </c>
      <c r="K1278" s="2">
        <v>45304</v>
      </c>
      <c r="L1278" s="2">
        <v>45313</v>
      </c>
      <c r="M1278" s="2">
        <v>45317</v>
      </c>
      <c r="N1278" s="2">
        <v>45325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74</v>
      </c>
      <c r="U1278">
        <v>53</v>
      </c>
      <c r="W1278">
        <v>11</v>
      </c>
    </row>
    <row r="1279" spans="1:25">
      <c r="A1279" s="1" t="s">
        <v>1348</v>
      </c>
      <c r="B1279" t="s">
        <v>58</v>
      </c>
      <c r="C1279" t="s">
        <v>71</v>
      </c>
      <c r="D1279" t="s">
        <v>73</v>
      </c>
      <c r="E1279" t="s">
        <v>66</v>
      </c>
      <c r="F1279" t="s">
        <v>38</v>
      </c>
      <c r="G1279" t="s">
        <v>55</v>
      </c>
      <c r="H1279" t="s">
        <v>32</v>
      </c>
      <c r="I1279" t="s">
        <v>41</v>
      </c>
      <c r="J1279" s="2">
        <v>45212</v>
      </c>
      <c r="K1279" s="2">
        <v>45215</v>
      </c>
      <c r="L1279" s="2">
        <v>45219</v>
      </c>
      <c r="M1279" s="2">
        <v>45224</v>
      </c>
      <c r="N1279" s="2">
        <v>45229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74</v>
      </c>
      <c r="U1279">
        <v>98</v>
      </c>
      <c r="W1279">
        <v>7</v>
      </c>
    </row>
    <row r="1280" spans="1:25">
      <c r="A1280" s="1" t="s">
        <v>1349</v>
      </c>
      <c r="B1280" t="s">
        <v>26</v>
      </c>
      <c r="C1280" t="s">
        <v>71</v>
      </c>
      <c r="D1280" t="s">
        <v>59</v>
      </c>
      <c r="E1280" t="s">
        <v>29</v>
      </c>
      <c r="F1280" t="s">
        <v>64</v>
      </c>
      <c r="G1280" t="s">
        <v>39</v>
      </c>
      <c r="H1280" t="s">
        <v>32</v>
      </c>
      <c r="I1280" t="s">
        <v>33</v>
      </c>
      <c r="J1280" s="2">
        <v>45059</v>
      </c>
      <c r="K1280" s="2">
        <v>45061</v>
      </c>
      <c r="L1280" s="2">
        <v>45065</v>
      </c>
      <c r="M1280" s="2">
        <v>45070</v>
      </c>
      <c r="N1280" s="2">
        <v>45072</v>
      </c>
      <c r="O1280">
        <v>1</v>
      </c>
      <c r="P1280">
        <v>1</v>
      </c>
      <c r="Q1280">
        <v>0</v>
      </c>
      <c r="R1280">
        <v>0</v>
      </c>
      <c r="S1280">
        <v>0</v>
      </c>
      <c r="T1280" t="s">
        <v>34</v>
      </c>
      <c r="U1280">
        <v>97</v>
      </c>
      <c r="W1280">
        <v>7</v>
      </c>
    </row>
    <row r="1281" spans="1:25">
      <c r="A1281" s="1" t="s">
        <v>1350</v>
      </c>
      <c r="B1281" t="s">
        <v>26</v>
      </c>
      <c r="C1281" t="s">
        <v>27</v>
      </c>
      <c r="D1281" t="s">
        <v>73</v>
      </c>
      <c r="E1281" t="s">
        <v>63</v>
      </c>
      <c r="F1281" t="s">
        <v>48</v>
      </c>
      <c r="G1281" t="s">
        <v>39</v>
      </c>
      <c r="H1281" t="s">
        <v>40</v>
      </c>
      <c r="I1281" t="s">
        <v>41</v>
      </c>
      <c r="J1281" s="2">
        <v>45285</v>
      </c>
      <c r="K1281" s="2">
        <v>45287</v>
      </c>
      <c r="L1281" s="2">
        <v>45292</v>
      </c>
      <c r="M1281" s="2">
        <v>45297</v>
      </c>
      <c r="N1281" s="2">
        <v>45302</v>
      </c>
      <c r="O1281">
        <v>1</v>
      </c>
      <c r="P1281">
        <v>1</v>
      </c>
      <c r="Q1281">
        <v>1</v>
      </c>
      <c r="R1281">
        <v>1</v>
      </c>
      <c r="S1281">
        <v>0</v>
      </c>
      <c r="T1281" t="s">
        <v>61</v>
      </c>
      <c r="U1281">
        <v>77</v>
      </c>
      <c r="V1281">
        <v>17</v>
      </c>
      <c r="W1281">
        <v>2</v>
      </c>
      <c r="X1281">
        <v>614992</v>
      </c>
    </row>
    <row r="1282" spans="1:25">
      <c r="A1282" s="1" t="s">
        <v>1351</v>
      </c>
      <c r="B1282" t="s">
        <v>70</v>
      </c>
      <c r="C1282" t="s">
        <v>27</v>
      </c>
      <c r="D1282" t="s">
        <v>52</v>
      </c>
      <c r="E1282" t="s">
        <v>102</v>
      </c>
      <c r="F1282" t="s">
        <v>67</v>
      </c>
      <c r="G1282" t="s">
        <v>31</v>
      </c>
      <c r="H1282" t="s">
        <v>56</v>
      </c>
      <c r="I1282" t="s">
        <v>41</v>
      </c>
      <c r="J1282" s="2">
        <v>45077</v>
      </c>
      <c r="K1282" s="2">
        <v>45079</v>
      </c>
      <c r="L1282" s="2">
        <v>45086</v>
      </c>
      <c r="M1282" s="2">
        <v>45088</v>
      </c>
      <c r="N1282" s="2">
        <v>45109</v>
      </c>
      <c r="O1282">
        <v>1</v>
      </c>
      <c r="P1282">
        <v>1</v>
      </c>
      <c r="Q1282">
        <v>1</v>
      </c>
      <c r="R1282">
        <v>0</v>
      </c>
      <c r="S1282">
        <v>0</v>
      </c>
      <c r="T1282" t="s">
        <v>49</v>
      </c>
      <c r="U1282">
        <v>94</v>
      </c>
      <c r="W1282">
        <v>1</v>
      </c>
      <c r="X1282">
        <v>616896</v>
      </c>
      <c r="Y1282" t="s">
        <v>68</v>
      </c>
    </row>
    <row r="1283" spans="1:25">
      <c r="A1283" s="1" t="s">
        <v>1352</v>
      </c>
      <c r="B1283" t="s">
        <v>26</v>
      </c>
      <c r="C1283" t="s">
        <v>78</v>
      </c>
      <c r="D1283" t="s">
        <v>59</v>
      </c>
      <c r="E1283" t="s">
        <v>54</v>
      </c>
      <c r="F1283" t="s">
        <v>38</v>
      </c>
      <c r="G1283" t="s">
        <v>60</v>
      </c>
      <c r="H1283" t="s">
        <v>56</v>
      </c>
      <c r="I1283" t="s">
        <v>33</v>
      </c>
      <c r="J1283" s="2">
        <v>45119</v>
      </c>
      <c r="K1283" s="2">
        <v>45123</v>
      </c>
      <c r="L1283" s="2">
        <v>45127</v>
      </c>
      <c r="M1283" s="2">
        <v>45131</v>
      </c>
      <c r="N1283" s="2">
        <v>45142</v>
      </c>
      <c r="O1283">
        <v>1</v>
      </c>
      <c r="P1283">
        <v>1</v>
      </c>
      <c r="Q1283">
        <v>1</v>
      </c>
      <c r="R1283">
        <v>1</v>
      </c>
      <c r="S1283">
        <v>0</v>
      </c>
      <c r="T1283" t="s">
        <v>61</v>
      </c>
      <c r="U1283">
        <v>75</v>
      </c>
      <c r="V1283">
        <v>23</v>
      </c>
      <c r="W1283">
        <v>6</v>
      </c>
      <c r="X1283">
        <v>2001511</v>
      </c>
    </row>
    <row r="1284" spans="1:25">
      <c r="A1284" s="1" t="s">
        <v>1353</v>
      </c>
      <c r="B1284" t="s">
        <v>26</v>
      </c>
      <c r="C1284" t="s">
        <v>78</v>
      </c>
      <c r="D1284" t="s">
        <v>28</v>
      </c>
      <c r="E1284" t="s">
        <v>54</v>
      </c>
      <c r="F1284" t="s">
        <v>38</v>
      </c>
      <c r="G1284" t="s">
        <v>31</v>
      </c>
      <c r="H1284" t="s">
        <v>32</v>
      </c>
      <c r="I1284" t="s">
        <v>33</v>
      </c>
      <c r="J1284" s="2">
        <v>45410</v>
      </c>
      <c r="K1284" s="2">
        <v>45411</v>
      </c>
      <c r="L1284" s="2">
        <v>45419</v>
      </c>
      <c r="M1284" s="2">
        <v>45426</v>
      </c>
      <c r="N1284" s="2">
        <v>45433</v>
      </c>
      <c r="O1284">
        <v>1</v>
      </c>
      <c r="P1284">
        <v>1</v>
      </c>
      <c r="Q1284">
        <v>0</v>
      </c>
      <c r="R1284">
        <v>0</v>
      </c>
      <c r="S1284">
        <v>1</v>
      </c>
      <c r="T1284" t="s">
        <v>34</v>
      </c>
      <c r="U1284">
        <v>70</v>
      </c>
      <c r="W1284">
        <v>8</v>
      </c>
    </row>
    <row r="1285" spans="1:25">
      <c r="A1285" s="1" t="s">
        <v>1354</v>
      </c>
      <c r="B1285" t="s">
        <v>70</v>
      </c>
      <c r="C1285" t="s">
        <v>71</v>
      </c>
      <c r="D1285" t="s">
        <v>59</v>
      </c>
      <c r="E1285" t="s">
        <v>66</v>
      </c>
      <c r="F1285" t="s">
        <v>48</v>
      </c>
      <c r="G1285" t="s">
        <v>39</v>
      </c>
      <c r="H1285" t="s">
        <v>40</v>
      </c>
      <c r="I1285" t="s">
        <v>41</v>
      </c>
      <c r="J1285" s="2">
        <v>45330</v>
      </c>
      <c r="K1285" s="2">
        <v>45334</v>
      </c>
      <c r="L1285" s="2">
        <v>45341</v>
      </c>
      <c r="M1285" s="2">
        <v>45348</v>
      </c>
      <c r="N1285" s="2">
        <v>45370</v>
      </c>
      <c r="O1285">
        <v>0</v>
      </c>
      <c r="P1285">
        <v>0</v>
      </c>
      <c r="Q1285">
        <v>0</v>
      </c>
      <c r="R1285">
        <v>0</v>
      </c>
      <c r="S1285">
        <v>0</v>
      </c>
      <c r="T1285" t="s">
        <v>74</v>
      </c>
      <c r="U1285">
        <v>77</v>
      </c>
      <c r="W1285">
        <v>3</v>
      </c>
    </row>
    <row r="1286" spans="1:25">
      <c r="A1286" s="1" t="s">
        <v>1355</v>
      </c>
      <c r="B1286" t="s">
        <v>26</v>
      </c>
      <c r="C1286" t="s">
        <v>47</v>
      </c>
      <c r="D1286" t="s">
        <v>44</v>
      </c>
      <c r="E1286" t="s">
        <v>102</v>
      </c>
      <c r="F1286" t="s">
        <v>38</v>
      </c>
      <c r="G1286" t="s">
        <v>45</v>
      </c>
      <c r="H1286" t="s">
        <v>40</v>
      </c>
      <c r="I1286" t="s">
        <v>41</v>
      </c>
      <c r="J1286" s="2">
        <v>45154</v>
      </c>
      <c r="K1286" s="2">
        <v>45155</v>
      </c>
      <c r="L1286" s="2">
        <v>45164</v>
      </c>
      <c r="M1286" s="2">
        <v>45170</v>
      </c>
      <c r="N1286" s="2">
        <v>45167</v>
      </c>
      <c r="O1286">
        <v>1</v>
      </c>
      <c r="P1286">
        <v>1</v>
      </c>
      <c r="Q1286">
        <v>0</v>
      </c>
      <c r="R1286">
        <v>0</v>
      </c>
      <c r="S1286">
        <v>0</v>
      </c>
      <c r="T1286" t="s">
        <v>34</v>
      </c>
      <c r="U1286">
        <v>94</v>
      </c>
      <c r="W1286">
        <v>9</v>
      </c>
    </row>
    <row r="1287" spans="1:25">
      <c r="A1287" s="1" t="s">
        <v>1356</v>
      </c>
      <c r="B1287" t="s">
        <v>43</v>
      </c>
      <c r="C1287" t="s">
        <v>71</v>
      </c>
      <c r="D1287" t="s">
        <v>44</v>
      </c>
      <c r="E1287" t="s">
        <v>66</v>
      </c>
      <c r="F1287" t="s">
        <v>38</v>
      </c>
      <c r="G1287" t="s">
        <v>45</v>
      </c>
      <c r="H1287" t="s">
        <v>40</v>
      </c>
      <c r="I1287" t="s">
        <v>41</v>
      </c>
      <c r="J1287" s="2">
        <v>45456</v>
      </c>
      <c r="K1287" s="2">
        <v>45457</v>
      </c>
      <c r="L1287" s="2">
        <v>45463</v>
      </c>
      <c r="M1287" s="2">
        <v>45469</v>
      </c>
      <c r="N1287" s="2">
        <v>45484</v>
      </c>
      <c r="O1287">
        <v>1</v>
      </c>
      <c r="P1287">
        <v>1</v>
      </c>
      <c r="Q1287">
        <v>1</v>
      </c>
      <c r="R1287">
        <v>1</v>
      </c>
      <c r="S1287">
        <v>0</v>
      </c>
      <c r="T1287" t="s">
        <v>61</v>
      </c>
      <c r="U1287">
        <v>58</v>
      </c>
      <c r="V1287">
        <v>28</v>
      </c>
      <c r="W1287">
        <v>7</v>
      </c>
      <c r="X1287">
        <v>905891</v>
      </c>
    </row>
    <row r="1288" spans="1:25">
      <c r="A1288" s="1" t="s">
        <v>1357</v>
      </c>
      <c r="B1288" t="s">
        <v>70</v>
      </c>
      <c r="C1288" t="s">
        <v>71</v>
      </c>
      <c r="D1288" t="s">
        <v>44</v>
      </c>
      <c r="E1288" t="s">
        <v>54</v>
      </c>
      <c r="F1288" t="s">
        <v>67</v>
      </c>
      <c r="G1288" t="s">
        <v>39</v>
      </c>
      <c r="H1288" t="s">
        <v>32</v>
      </c>
      <c r="I1288" t="s">
        <v>41</v>
      </c>
      <c r="J1288" s="2">
        <v>45467</v>
      </c>
      <c r="K1288" s="2">
        <v>45469</v>
      </c>
      <c r="L1288" s="2">
        <v>45478</v>
      </c>
      <c r="M1288" s="2">
        <v>45484</v>
      </c>
      <c r="N1288" s="2">
        <v>45501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74</v>
      </c>
      <c r="U1288">
        <v>85</v>
      </c>
      <c r="W1288">
        <v>6</v>
      </c>
    </row>
    <row r="1289" spans="1:25">
      <c r="A1289" s="1" t="s">
        <v>1358</v>
      </c>
      <c r="B1289" t="s">
        <v>26</v>
      </c>
      <c r="C1289" t="s">
        <v>27</v>
      </c>
      <c r="D1289" t="s">
        <v>44</v>
      </c>
      <c r="E1289" t="s">
        <v>54</v>
      </c>
      <c r="F1289" t="s">
        <v>67</v>
      </c>
      <c r="G1289" t="s">
        <v>31</v>
      </c>
      <c r="H1289" t="s">
        <v>56</v>
      </c>
      <c r="I1289" t="s">
        <v>41</v>
      </c>
      <c r="J1289" s="2">
        <v>45026</v>
      </c>
      <c r="K1289" s="2">
        <v>45027</v>
      </c>
      <c r="L1289" s="2">
        <v>45030</v>
      </c>
      <c r="M1289" s="2">
        <v>45032</v>
      </c>
      <c r="N1289" s="2">
        <v>45046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74</v>
      </c>
      <c r="U1289">
        <v>49</v>
      </c>
      <c r="W1289">
        <v>0</v>
      </c>
    </row>
    <row r="1290" spans="1:25">
      <c r="A1290" s="1" t="s">
        <v>1359</v>
      </c>
      <c r="B1290" t="s">
        <v>70</v>
      </c>
      <c r="C1290" t="s">
        <v>27</v>
      </c>
      <c r="D1290" t="s">
        <v>44</v>
      </c>
      <c r="E1290" t="s">
        <v>102</v>
      </c>
      <c r="F1290" t="s">
        <v>38</v>
      </c>
      <c r="G1290" t="s">
        <v>39</v>
      </c>
      <c r="H1290" t="s">
        <v>40</v>
      </c>
      <c r="I1290" t="s">
        <v>33</v>
      </c>
      <c r="J1290" s="2">
        <v>45354</v>
      </c>
      <c r="K1290" s="2">
        <v>45358</v>
      </c>
      <c r="L1290" s="2">
        <v>45361</v>
      </c>
      <c r="M1290" s="2">
        <v>45366</v>
      </c>
      <c r="N1290" s="2">
        <v>45388</v>
      </c>
      <c r="O1290">
        <v>1</v>
      </c>
      <c r="P1290">
        <v>1</v>
      </c>
      <c r="Q1290">
        <v>1</v>
      </c>
      <c r="R1290">
        <v>1</v>
      </c>
      <c r="S1290">
        <v>0</v>
      </c>
      <c r="T1290" t="s">
        <v>61</v>
      </c>
      <c r="U1290">
        <v>78</v>
      </c>
      <c r="V1290">
        <v>34</v>
      </c>
      <c r="W1290">
        <v>0</v>
      </c>
      <c r="X1290">
        <v>589848</v>
      </c>
    </row>
    <row r="1291" spans="1:25">
      <c r="A1291" s="1" t="s">
        <v>1360</v>
      </c>
      <c r="B1291" t="s">
        <v>26</v>
      </c>
      <c r="C1291" t="s">
        <v>47</v>
      </c>
      <c r="D1291" t="s">
        <v>44</v>
      </c>
      <c r="E1291" t="s">
        <v>63</v>
      </c>
      <c r="F1291" t="s">
        <v>38</v>
      </c>
      <c r="G1291" t="s">
        <v>55</v>
      </c>
      <c r="H1291" t="s">
        <v>56</v>
      </c>
      <c r="I1291" t="s">
        <v>33</v>
      </c>
      <c r="J1291" s="2">
        <v>45423</v>
      </c>
      <c r="K1291" s="2">
        <v>45428</v>
      </c>
      <c r="L1291" s="2">
        <v>45438</v>
      </c>
      <c r="M1291" s="2">
        <v>45444</v>
      </c>
      <c r="N1291" s="2">
        <v>45441</v>
      </c>
      <c r="O1291">
        <v>1</v>
      </c>
      <c r="P1291">
        <v>0</v>
      </c>
      <c r="Q1291">
        <v>0</v>
      </c>
      <c r="R1291">
        <v>0</v>
      </c>
      <c r="S1291">
        <v>1</v>
      </c>
      <c r="T1291" t="s">
        <v>34</v>
      </c>
      <c r="U1291">
        <v>47</v>
      </c>
      <c r="W1291">
        <v>10</v>
      </c>
    </row>
    <row r="1292" spans="1:25">
      <c r="A1292" s="1" t="s">
        <v>1361</v>
      </c>
      <c r="B1292" t="s">
        <v>90</v>
      </c>
      <c r="C1292" t="s">
        <v>47</v>
      </c>
      <c r="D1292" t="s">
        <v>28</v>
      </c>
      <c r="E1292" t="s">
        <v>102</v>
      </c>
      <c r="F1292" t="s">
        <v>48</v>
      </c>
      <c r="G1292" t="s">
        <v>60</v>
      </c>
      <c r="H1292" t="s">
        <v>32</v>
      </c>
      <c r="I1292" t="s">
        <v>33</v>
      </c>
      <c r="J1292" s="2">
        <v>45142</v>
      </c>
      <c r="K1292" s="2">
        <v>45144</v>
      </c>
      <c r="L1292" s="2">
        <v>45154</v>
      </c>
      <c r="M1292" s="2">
        <v>45161</v>
      </c>
      <c r="N1292" s="2">
        <v>45168</v>
      </c>
      <c r="O1292">
        <v>1</v>
      </c>
      <c r="P1292">
        <v>0</v>
      </c>
      <c r="Q1292">
        <v>0</v>
      </c>
      <c r="R1292">
        <v>0</v>
      </c>
      <c r="S1292">
        <v>0</v>
      </c>
      <c r="T1292" t="s">
        <v>34</v>
      </c>
      <c r="U1292">
        <v>58</v>
      </c>
      <c r="W1292">
        <v>9</v>
      </c>
    </row>
    <row r="1293" spans="1:25">
      <c r="A1293" s="1" t="s">
        <v>1362</v>
      </c>
      <c r="B1293" t="s">
        <v>36</v>
      </c>
      <c r="C1293" t="s">
        <v>71</v>
      </c>
      <c r="D1293" t="s">
        <v>59</v>
      </c>
      <c r="E1293" t="s">
        <v>63</v>
      </c>
      <c r="F1293" t="s">
        <v>48</v>
      </c>
      <c r="G1293" t="s">
        <v>60</v>
      </c>
      <c r="H1293" t="s">
        <v>32</v>
      </c>
      <c r="I1293" t="s">
        <v>33</v>
      </c>
      <c r="J1293" s="2">
        <v>45319</v>
      </c>
      <c r="K1293" s="2">
        <v>45324</v>
      </c>
      <c r="L1293" s="2">
        <v>45330</v>
      </c>
      <c r="M1293" s="2">
        <v>45337</v>
      </c>
      <c r="N1293" s="2">
        <v>45340</v>
      </c>
      <c r="O1293">
        <v>1</v>
      </c>
      <c r="P1293">
        <v>1</v>
      </c>
      <c r="Q1293">
        <v>1</v>
      </c>
      <c r="R1293">
        <v>0</v>
      </c>
      <c r="S1293">
        <v>0</v>
      </c>
      <c r="T1293" t="s">
        <v>49</v>
      </c>
      <c r="U1293">
        <v>100</v>
      </c>
      <c r="W1293">
        <v>5</v>
      </c>
      <c r="X1293">
        <v>968351</v>
      </c>
      <c r="Y1293" t="s">
        <v>80</v>
      </c>
    </row>
    <row r="1294" spans="1:25">
      <c r="A1294" s="1" t="s">
        <v>1363</v>
      </c>
      <c r="B1294" t="s">
        <v>36</v>
      </c>
      <c r="C1294" t="s">
        <v>71</v>
      </c>
      <c r="D1294" t="s">
        <v>59</v>
      </c>
      <c r="E1294" t="s">
        <v>63</v>
      </c>
      <c r="F1294" t="s">
        <v>76</v>
      </c>
      <c r="G1294" t="s">
        <v>31</v>
      </c>
      <c r="H1294" t="s">
        <v>40</v>
      </c>
      <c r="I1294" t="s">
        <v>41</v>
      </c>
      <c r="J1294" s="2">
        <v>45224</v>
      </c>
      <c r="K1294" s="2">
        <v>45228</v>
      </c>
      <c r="L1294" s="2">
        <v>45233</v>
      </c>
      <c r="M1294" s="2">
        <v>45235</v>
      </c>
      <c r="N1294" s="2">
        <v>45252</v>
      </c>
      <c r="O1294">
        <v>1</v>
      </c>
      <c r="P1294">
        <v>1</v>
      </c>
      <c r="Q1294">
        <v>0</v>
      </c>
      <c r="R1294">
        <v>0</v>
      </c>
      <c r="S1294">
        <v>0</v>
      </c>
      <c r="T1294" t="s">
        <v>34</v>
      </c>
      <c r="U1294">
        <v>63</v>
      </c>
      <c r="W1294">
        <v>4</v>
      </c>
    </row>
    <row r="1295" spans="1:25">
      <c r="A1295" s="1" t="s">
        <v>1364</v>
      </c>
      <c r="B1295" t="s">
        <v>58</v>
      </c>
      <c r="C1295" t="s">
        <v>47</v>
      </c>
      <c r="D1295" t="s">
        <v>52</v>
      </c>
      <c r="E1295" t="s">
        <v>54</v>
      </c>
      <c r="F1295" t="s">
        <v>64</v>
      </c>
      <c r="G1295" t="s">
        <v>45</v>
      </c>
      <c r="H1295" t="s">
        <v>32</v>
      </c>
      <c r="I1295" t="s">
        <v>33</v>
      </c>
      <c r="J1295" s="2">
        <v>45408</v>
      </c>
      <c r="K1295" s="2">
        <v>45413</v>
      </c>
      <c r="L1295" s="2">
        <v>45421</v>
      </c>
      <c r="M1295" s="2">
        <v>45423</v>
      </c>
      <c r="N1295" s="2">
        <v>45426</v>
      </c>
      <c r="O1295">
        <v>1</v>
      </c>
      <c r="P1295">
        <v>0</v>
      </c>
      <c r="Q1295">
        <v>0</v>
      </c>
      <c r="R1295">
        <v>0</v>
      </c>
      <c r="S1295">
        <v>0</v>
      </c>
      <c r="T1295" t="s">
        <v>34</v>
      </c>
      <c r="U1295">
        <v>59</v>
      </c>
      <c r="W1295">
        <v>9</v>
      </c>
    </row>
    <row r="1296" spans="1:25">
      <c r="A1296" s="1" t="s">
        <v>1365</v>
      </c>
      <c r="B1296" t="s">
        <v>43</v>
      </c>
      <c r="C1296" t="s">
        <v>47</v>
      </c>
      <c r="D1296" t="s">
        <v>59</v>
      </c>
      <c r="E1296" t="s">
        <v>63</v>
      </c>
      <c r="F1296" t="s">
        <v>30</v>
      </c>
      <c r="G1296" t="s">
        <v>39</v>
      </c>
      <c r="H1296" t="s">
        <v>32</v>
      </c>
      <c r="I1296" t="s">
        <v>33</v>
      </c>
      <c r="J1296" s="2">
        <v>45070</v>
      </c>
      <c r="K1296" s="2">
        <v>45075</v>
      </c>
      <c r="L1296" s="2">
        <v>45083</v>
      </c>
      <c r="M1296" s="2">
        <v>45090</v>
      </c>
      <c r="N1296" s="2">
        <v>45098</v>
      </c>
      <c r="O1296">
        <v>1</v>
      </c>
      <c r="P1296">
        <v>1</v>
      </c>
      <c r="Q1296">
        <v>0</v>
      </c>
      <c r="R1296">
        <v>0</v>
      </c>
      <c r="S1296">
        <v>1</v>
      </c>
      <c r="T1296" t="s">
        <v>34</v>
      </c>
      <c r="U1296">
        <v>84</v>
      </c>
      <c r="W1296">
        <v>8</v>
      </c>
    </row>
    <row r="1297" spans="1:25">
      <c r="A1297" s="1" t="s">
        <v>1366</v>
      </c>
      <c r="B1297" t="s">
        <v>26</v>
      </c>
      <c r="C1297" t="s">
        <v>78</v>
      </c>
      <c r="D1297" t="s">
        <v>44</v>
      </c>
      <c r="E1297" t="s">
        <v>63</v>
      </c>
      <c r="F1297" t="s">
        <v>30</v>
      </c>
      <c r="G1297" t="s">
        <v>55</v>
      </c>
      <c r="H1297" t="s">
        <v>40</v>
      </c>
      <c r="I1297" t="s">
        <v>33</v>
      </c>
      <c r="J1297" s="2">
        <v>45353</v>
      </c>
      <c r="K1297" s="2">
        <v>45357</v>
      </c>
      <c r="L1297" s="2">
        <v>45367</v>
      </c>
      <c r="M1297" s="2">
        <v>45371</v>
      </c>
      <c r="N1297" s="2">
        <v>45375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74</v>
      </c>
      <c r="U1297">
        <v>97</v>
      </c>
      <c r="W1297">
        <v>10</v>
      </c>
    </row>
    <row r="1298" spans="1:25">
      <c r="A1298" s="1" t="s">
        <v>1367</v>
      </c>
      <c r="B1298" t="s">
        <v>70</v>
      </c>
      <c r="C1298" t="s">
        <v>47</v>
      </c>
      <c r="D1298" t="s">
        <v>28</v>
      </c>
      <c r="E1298" t="s">
        <v>66</v>
      </c>
      <c r="F1298" t="s">
        <v>76</v>
      </c>
      <c r="G1298" t="s">
        <v>60</v>
      </c>
      <c r="H1298" t="s">
        <v>32</v>
      </c>
      <c r="I1298" t="s">
        <v>33</v>
      </c>
      <c r="J1298" s="2">
        <v>45099</v>
      </c>
      <c r="K1298" s="2">
        <v>45103</v>
      </c>
      <c r="L1298" s="2">
        <v>45113</v>
      </c>
      <c r="M1298" s="2">
        <v>45116</v>
      </c>
      <c r="N1298" s="2">
        <v>45136</v>
      </c>
      <c r="O1298">
        <v>1</v>
      </c>
      <c r="P1298">
        <v>1</v>
      </c>
      <c r="Q1298">
        <v>0</v>
      </c>
      <c r="R1298">
        <v>0</v>
      </c>
      <c r="S1298">
        <v>0</v>
      </c>
      <c r="T1298" t="s">
        <v>34</v>
      </c>
      <c r="U1298">
        <v>63</v>
      </c>
      <c r="W1298">
        <v>13</v>
      </c>
    </row>
    <row r="1299" spans="1:25">
      <c r="A1299" s="1" t="s">
        <v>1368</v>
      </c>
      <c r="B1299" t="s">
        <v>70</v>
      </c>
      <c r="C1299" t="s">
        <v>71</v>
      </c>
      <c r="D1299" t="s">
        <v>44</v>
      </c>
      <c r="E1299" t="s">
        <v>66</v>
      </c>
      <c r="F1299" t="s">
        <v>76</v>
      </c>
      <c r="G1299" t="s">
        <v>45</v>
      </c>
      <c r="H1299" t="s">
        <v>56</v>
      </c>
      <c r="I1299" t="s">
        <v>41</v>
      </c>
      <c r="J1299" s="2">
        <v>45125</v>
      </c>
      <c r="K1299" s="2">
        <v>45129</v>
      </c>
      <c r="L1299" s="2">
        <v>45136</v>
      </c>
      <c r="M1299" s="2">
        <v>45140</v>
      </c>
      <c r="N1299" s="2">
        <v>45151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74</v>
      </c>
      <c r="U1299">
        <v>85</v>
      </c>
      <c r="W1299">
        <v>3</v>
      </c>
    </row>
    <row r="1300" spans="1:25">
      <c r="A1300" s="1" t="s">
        <v>1369</v>
      </c>
      <c r="B1300" t="s">
        <v>70</v>
      </c>
      <c r="C1300" t="s">
        <v>71</v>
      </c>
      <c r="D1300" t="s">
        <v>59</v>
      </c>
      <c r="E1300" t="s">
        <v>66</v>
      </c>
      <c r="F1300" t="s">
        <v>30</v>
      </c>
      <c r="G1300" t="s">
        <v>55</v>
      </c>
      <c r="H1300" t="s">
        <v>56</v>
      </c>
      <c r="I1300" t="s">
        <v>41</v>
      </c>
      <c r="J1300" s="2">
        <v>45304</v>
      </c>
      <c r="K1300" s="2">
        <v>45309</v>
      </c>
      <c r="L1300" s="2">
        <v>45316</v>
      </c>
      <c r="M1300" s="2">
        <v>45323</v>
      </c>
      <c r="N1300" s="2">
        <v>45330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74</v>
      </c>
      <c r="U1300">
        <v>83</v>
      </c>
      <c r="W1300">
        <v>7</v>
      </c>
    </row>
    <row r="1301" spans="1:25">
      <c r="A1301" s="1" t="s">
        <v>1370</v>
      </c>
      <c r="B1301" t="s">
        <v>26</v>
      </c>
      <c r="C1301" t="s">
        <v>37</v>
      </c>
      <c r="D1301" t="s">
        <v>73</v>
      </c>
      <c r="E1301" t="s">
        <v>63</v>
      </c>
      <c r="F1301" t="s">
        <v>30</v>
      </c>
      <c r="G1301" t="s">
        <v>45</v>
      </c>
      <c r="H1301" t="s">
        <v>32</v>
      </c>
      <c r="I1301" t="s">
        <v>41</v>
      </c>
      <c r="J1301" s="2">
        <v>44989</v>
      </c>
      <c r="K1301" s="2">
        <v>44991</v>
      </c>
      <c r="L1301" s="2">
        <v>45000</v>
      </c>
      <c r="M1301" s="2">
        <v>45003</v>
      </c>
      <c r="N1301" s="2">
        <v>45010</v>
      </c>
      <c r="O1301">
        <v>1</v>
      </c>
      <c r="P1301">
        <v>0</v>
      </c>
      <c r="Q1301">
        <v>0</v>
      </c>
      <c r="R1301">
        <v>0</v>
      </c>
      <c r="S1301">
        <v>0</v>
      </c>
      <c r="T1301" t="s">
        <v>34</v>
      </c>
      <c r="U1301">
        <v>45</v>
      </c>
      <c r="W1301">
        <v>2</v>
      </c>
    </row>
    <row r="1302" spans="1:25">
      <c r="A1302" s="1" t="s">
        <v>1371</v>
      </c>
      <c r="B1302" t="s">
        <v>90</v>
      </c>
      <c r="C1302" t="s">
        <v>27</v>
      </c>
      <c r="D1302" t="s">
        <v>28</v>
      </c>
      <c r="E1302" t="s">
        <v>54</v>
      </c>
      <c r="F1302" t="s">
        <v>30</v>
      </c>
      <c r="G1302" t="s">
        <v>45</v>
      </c>
      <c r="H1302" t="s">
        <v>32</v>
      </c>
      <c r="I1302" t="s">
        <v>33</v>
      </c>
      <c r="J1302" s="2">
        <v>45098</v>
      </c>
      <c r="K1302" s="2">
        <v>45099</v>
      </c>
      <c r="L1302" s="2">
        <v>45107</v>
      </c>
      <c r="M1302" s="2">
        <v>45111</v>
      </c>
      <c r="N1302" s="2">
        <v>45133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74</v>
      </c>
      <c r="U1302">
        <v>50</v>
      </c>
      <c r="W1302">
        <v>0</v>
      </c>
    </row>
    <row r="1303" spans="1:25">
      <c r="A1303" s="1" t="s">
        <v>1372</v>
      </c>
      <c r="B1303" t="s">
        <v>43</v>
      </c>
      <c r="C1303" t="s">
        <v>71</v>
      </c>
      <c r="D1303" t="s">
        <v>59</v>
      </c>
      <c r="E1303" t="s">
        <v>29</v>
      </c>
      <c r="F1303" t="s">
        <v>38</v>
      </c>
      <c r="G1303" t="s">
        <v>39</v>
      </c>
      <c r="H1303" t="s">
        <v>32</v>
      </c>
      <c r="I1303" t="s">
        <v>33</v>
      </c>
      <c r="J1303" s="2">
        <v>44937</v>
      </c>
      <c r="K1303" s="2">
        <v>44940</v>
      </c>
      <c r="L1303" s="2">
        <v>44945</v>
      </c>
      <c r="M1303" s="2">
        <v>44948</v>
      </c>
      <c r="N1303" s="2">
        <v>44952</v>
      </c>
      <c r="O1303">
        <v>1</v>
      </c>
      <c r="P1303">
        <v>1</v>
      </c>
      <c r="Q1303">
        <v>0</v>
      </c>
      <c r="R1303">
        <v>0</v>
      </c>
      <c r="S1303">
        <v>0</v>
      </c>
      <c r="T1303" t="s">
        <v>34</v>
      </c>
      <c r="U1303">
        <v>66</v>
      </c>
      <c r="W1303">
        <v>4</v>
      </c>
    </row>
    <row r="1304" spans="1:25">
      <c r="A1304" s="1" t="s">
        <v>1373</v>
      </c>
      <c r="B1304" t="s">
        <v>26</v>
      </c>
      <c r="C1304" t="s">
        <v>71</v>
      </c>
      <c r="D1304" t="s">
        <v>73</v>
      </c>
      <c r="E1304" t="s">
        <v>29</v>
      </c>
      <c r="F1304" t="s">
        <v>38</v>
      </c>
      <c r="G1304" t="s">
        <v>31</v>
      </c>
      <c r="H1304" t="s">
        <v>32</v>
      </c>
      <c r="I1304" t="s">
        <v>33</v>
      </c>
      <c r="J1304" s="2">
        <v>45325</v>
      </c>
      <c r="K1304" s="2">
        <v>45326</v>
      </c>
      <c r="L1304" s="2">
        <v>45331</v>
      </c>
      <c r="M1304" s="2">
        <v>45337</v>
      </c>
      <c r="N1304" s="2">
        <v>45340</v>
      </c>
      <c r="O1304">
        <v>1</v>
      </c>
      <c r="P1304">
        <v>1</v>
      </c>
      <c r="Q1304">
        <v>1</v>
      </c>
      <c r="R1304">
        <v>0</v>
      </c>
      <c r="S1304">
        <v>0</v>
      </c>
      <c r="T1304" t="s">
        <v>49</v>
      </c>
      <c r="U1304">
        <v>54</v>
      </c>
      <c r="W1304">
        <v>6</v>
      </c>
      <c r="X1304">
        <v>954797</v>
      </c>
      <c r="Y1304" t="s">
        <v>87</v>
      </c>
    </row>
    <row r="1305" spans="1:25">
      <c r="A1305" s="1" t="s">
        <v>1374</v>
      </c>
      <c r="B1305" t="s">
        <v>70</v>
      </c>
      <c r="C1305" t="s">
        <v>71</v>
      </c>
      <c r="D1305" t="s">
        <v>59</v>
      </c>
      <c r="E1305" t="s">
        <v>102</v>
      </c>
      <c r="F1305" t="s">
        <v>67</v>
      </c>
      <c r="G1305" t="s">
        <v>55</v>
      </c>
      <c r="H1305" t="s">
        <v>40</v>
      </c>
      <c r="I1305" t="s">
        <v>33</v>
      </c>
      <c r="J1305" s="2">
        <v>45308</v>
      </c>
      <c r="K1305" s="2">
        <v>45312</v>
      </c>
      <c r="L1305" s="2">
        <v>45318</v>
      </c>
      <c r="M1305" s="2">
        <v>45320</v>
      </c>
      <c r="N1305" s="2">
        <v>45344</v>
      </c>
      <c r="O1305">
        <v>1</v>
      </c>
      <c r="P1305">
        <v>1</v>
      </c>
      <c r="Q1305">
        <v>0</v>
      </c>
      <c r="R1305">
        <v>0</v>
      </c>
      <c r="S1305">
        <v>0</v>
      </c>
      <c r="T1305" t="s">
        <v>34</v>
      </c>
      <c r="U1305">
        <v>95</v>
      </c>
      <c r="W1305">
        <v>3</v>
      </c>
    </row>
    <row r="1306" spans="1:25">
      <c r="A1306" s="1" t="s">
        <v>1375</v>
      </c>
      <c r="B1306" t="s">
        <v>26</v>
      </c>
      <c r="C1306" t="s">
        <v>78</v>
      </c>
      <c r="D1306" t="s">
        <v>28</v>
      </c>
      <c r="E1306" t="s">
        <v>66</v>
      </c>
      <c r="F1306" t="s">
        <v>38</v>
      </c>
      <c r="G1306" t="s">
        <v>45</v>
      </c>
      <c r="H1306" t="s">
        <v>56</v>
      </c>
      <c r="I1306" t="s">
        <v>33</v>
      </c>
      <c r="J1306" s="2">
        <v>45396</v>
      </c>
      <c r="K1306" s="2">
        <v>45397</v>
      </c>
      <c r="L1306" s="2">
        <v>45402</v>
      </c>
      <c r="M1306" s="2">
        <v>45408</v>
      </c>
      <c r="N1306" s="2">
        <v>45416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74</v>
      </c>
      <c r="U1306">
        <v>68</v>
      </c>
      <c r="W1306">
        <v>6</v>
      </c>
    </row>
    <row r="1307" spans="1:25">
      <c r="A1307" s="1" t="s">
        <v>1376</v>
      </c>
      <c r="B1307" t="s">
        <v>70</v>
      </c>
      <c r="C1307" t="s">
        <v>47</v>
      </c>
      <c r="D1307" t="s">
        <v>73</v>
      </c>
      <c r="E1307" t="s">
        <v>102</v>
      </c>
      <c r="F1307" t="s">
        <v>38</v>
      </c>
      <c r="G1307" t="s">
        <v>55</v>
      </c>
      <c r="H1307" t="s">
        <v>32</v>
      </c>
      <c r="I1307" t="s">
        <v>33</v>
      </c>
      <c r="J1307" s="2">
        <v>45434</v>
      </c>
      <c r="K1307" s="2">
        <v>45439</v>
      </c>
      <c r="L1307" s="2">
        <v>45444</v>
      </c>
      <c r="M1307" s="2">
        <v>45448</v>
      </c>
      <c r="N1307" s="2">
        <v>45466</v>
      </c>
      <c r="O1307">
        <v>1</v>
      </c>
      <c r="P1307">
        <v>1</v>
      </c>
      <c r="Q1307">
        <v>0</v>
      </c>
      <c r="R1307">
        <v>0</v>
      </c>
      <c r="S1307">
        <v>0</v>
      </c>
      <c r="T1307" t="s">
        <v>34</v>
      </c>
      <c r="U1307">
        <v>83</v>
      </c>
      <c r="W1307">
        <v>15</v>
      </c>
    </row>
    <row r="1308" spans="1:25">
      <c r="A1308" s="1" t="s">
        <v>1377</v>
      </c>
      <c r="B1308" t="s">
        <v>43</v>
      </c>
      <c r="C1308" t="s">
        <v>37</v>
      </c>
      <c r="D1308" t="s">
        <v>44</v>
      </c>
      <c r="E1308" t="s">
        <v>63</v>
      </c>
      <c r="F1308" t="s">
        <v>67</v>
      </c>
      <c r="G1308" t="s">
        <v>45</v>
      </c>
      <c r="H1308" t="s">
        <v>32</v>
      </c>
      <c r="I1308" t="s">
        <v>41</v>
      </c>
      <c r="J1308" s="2">
        <v>45440</v>
      </c>
      <c r="K1308" s="2">
        <v>45445</v>
      </c>
      <c r="L1308" s="2">
        <v>45452</v>
      </c>
      <c r="M1308" s="2">
        <v>45457</v>
      </c>
      <c r="N1308" s="2">
        <v>45461</v>
      </c>
      <c r="O1308">
        <v>1</v>
      </c>
      <c r="P1308">
        <v>1</v>
      </c>
      <c r="Q1308">
        <v>1</v>
      </c>
      <c r="R1308">
        <v>0</v>
      </c>
      <c r="S1308">
        <v>0</v>
      </c>
      <c r="T1308" t="s">
        <v>49</v>
      </c>
      <c r="U1308">
        <v>78</v>
      </c>
      <c r="W1308">
        <v>4</v>
      </c>
      <c r="X1308">
        <v>547314</v>
      </c>
      <c r="Y1308" t="s">
        <v>68</v>
      </c>
    </row>
    <row r="1309" spans="1:25">
      <c r="A1309" s="1" t="s">
        <v>1378</v>
      </c>
      <c r="B1309" t="s">
        <v>70</v>
      </c>
      <c r="C1309" t="s">
        <v>47</v>
      </c>
      <c r="D1309" t="s">
        <v>44</v>
      </c>
      <c r="E1309" t="s">
        <v>63</v>
      </c>
      <c r="F1309" t="s">
        <v>64</v>
      </c>
      <c r="G1309" t="s">
        <v>39</v>
      </c>
      <c r="H1309" t="s">
        <v>56</v>
      </c>
      <c r="I1309" t="s">
        <v>33</v>
      </c>
      <c r="J1309" s="2">
        <v>45327</v>
      </c>
      <c r="K1309" s="2">
        <v>45332</v>
      </c>
      <c r="L1309" s="2">
        <v>45341</v>
      </c>
      <c r="M1309" s="2">
        <v>45346</v>
      </c>
      <c r="N1309" s="2">
        <v>45367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74</v>
      </c>
      <c r="U1309">
        <v>77</v>
      </c>
      <c r="W1309">
        <v>8</v>
      </c>
    </row>
    <row r="1310" spans="1:25">
      <c r="A1310" s="1" t="s">
        <v>1379</v>
      </c>
      <c r="B1310" t="s">
        <v>36</v>
      </c>
      <c r="C1310" t="s">
        <v>47</v>
      </c>
      <c r="D1310" t="s">
        <v>59</v>
      </c>
      <c r="E1310" t="s">
        <v>63</v>
      </c>
      <c r="F1310" t="s">
        <v>64</v>
      </c>
      <c r="G1310" t="s">
        <v>55</v>
      </c>
      <c r="H1310" t="s">
        <v>40</v>
      </c>
      <c r="I1310" t="s">
        <v>33</v>
      </c>
      <c r="J1310" s="2">
        <v>45206</v>
      </c>
      <c r="K1310" s="2">
        <v>45209</v>
      </c>
      <c r="L1310" s="2">
        <v>45215</v>
      </c>
      <c r="M1310" s="2">
        <v>45217</v>
      </c>
      <c r="N1310" s="2">
        <v>45220</v>
      </c>
      <c r="O1310">
        <v>1</v>
      </c>
      <c r="P1310">
        <v>0</v>
      </c>
      <c r="Q1310">
        <v>0</v>
      </c>
      <c r="R1310">
        <v>0</v>
      </c>
      <c r="S1310">
        <v>0</v>
      </c>
      <c r="T1310" t="s">
        <v>34</v>
      </c>
      <c r="U1310">
        <v>66</v>
      </c>
      <c r="W1310">
        <v>14</v>
      </c>
    </row>
    <row r="1311" spans="1:25">
      <c r="A1311" s="1" t="s">
        <v>1380</v>
      </c>
      <c r="B1311" t="s">
        <v>26</v>
      </c>
      <c r="C1311" t="s">
        <v>78</v>
      </c>
      <c r="D1311" t="s">
        <v>44</v>
      </c>
      <c r="E1311" t="s">
        <v>29</v>
      </c>
      <c r="F1311" t="s">
        <v>30</v>
      </c>
      <c r="G1311" t="s">
        <v>31</v>
      </c>
      <c r="H1311" t="s">
        <v>56</v>
      </c>
      <c r="I1311" t="s">
        <v>33</v>
      </c>
      <c r="J1311" s="2">
        <v>45464</v>
      </c>
      <c r="K1311" s="2">
        <v>45466</v>
      </c>
      <c r="L1311" s="2">
        <v>45471</v>
      </c>
      <c r="M1311" s="2">
        <v>45474</v>
      </c>
      <c r="N1311" s="2">
        <v>45481</v>
      </c>
      <c r="O1311">
        <v>1</v>
      </c>
      <c r="P1311">
        <v>1</v>
      </c>
      <c r="Q1311">
        <v>0</v>
      </c>
      <c r="R1311">
        <v>0</v>
      </c>
      <c r="S1311">
        <v>0</v>
      </c>
      <c r="T1311" t="s">
        <v>34</v>
      </c>
      <c r="U1311">
        <v>77</v>
      </c>
      <c r="W1311">
        <v>6</v>
      </c>
    </row>
    <row r="1312" spans="1:25">
      <c r="A1312" s="1" t="s">
        <v>1381</v>
      </c>
      <c r="B1312" t="s">
        <v>90</v>
      </c>
      <c r="C1312" t="s">
        <v>47</v>
      </c>
      <c r="D1312" t="s">
        <v>44</v>
      </c>
      <c r="E1312" t="s">
        <v>66</v>
      </c>
      <c r="F1312" t="s">
        <v>67</v>
      </c>
      <c r="G1312" t="s">
        <v>45</v>
      </c>
      <c r="H1312" t="s">
        <v>32</v>
      </c>
      <c r="I1312" t="s">
        <v>33</v>
      </c>
      <c r="J1312" s="2">
        <v>44995</v>
      </c>
      <c r="K1312" s="2">
        <v>44999</v>
      </c>
      <c r="L1312" s="2">
        <v>45007</v>
      </c>
      <c r="M1312" s="2">
        <v>45014</v>
      </c>
      <c r="N1312" s="2">
        <v>45028</v>
      </c>
      <c r="O1312">
        <v>1</v>
      </c>
      <c r="P1312">
        <v>1</v>
      </c>
      <c r="Q1312">
        <v>1</v>
      </c>
      <c r="R1312">
        <v>0</v>
      </c>
      <c r="S1312">
        <v>1</v>
      </c>
      <c r="T1312" t="s">
        <v>49</v>
      </c>
      <c r="U1312">
        <v>93</v>
      </c>
      <c r="W1312">
        <v>9</v>
      </c>
      <c r="X1312">
        <v>2943070</v>
      </c>
      <c r="Y1312" t="s">
        <v>87</v>
      </c>
    </row>
    <row r="1313" spans="1:25">
      <c r="A1313" s="1" t="s">
        <v>1382</v>
      </c>
      <c r="B1313" t="s">
        <v>26</v>
      </c>
      <c r="C1313" t="s">
        <v>78</v>
      </c>
      <c r="D1313" t="s">
        <v>52</v>
      </c>
      <c r="E1313" t="s">
        <v>54</v>
      </c>
      <c r="F1313" t="s">
        <v>64</v>
      </c>
      <c r="G1313" t="s">
        <v>31</v>
      </c>
      <c r="H1313" t="s">
        <v>32</v>
      </c>
      <c r="I1313" t="s">
        <v>33</v>
      </c>
      <c r="J1313" s="2">
        <v>45396</v>
      </c>
      <c r="K1313" s="2">
        <v>45400</v>
      </c>
      <c r="L1313" s="2">
        <v>45410</v>
      </c>
      <c r="M1313" s="2">
        <v>45416</v>
      </c>
      <c r="N1313" s="2">
        <v>45411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74</v>
      </c>
      <c r="U1313">
        <v>85</v>
      </c>
      <c r="W1313">
        <v>8</v>
      </c>
    </row>
    <row r="1314" spans="1:25">
      <c r="A1314" s="1" t="s">
        <v>1383</v>
      </c>
      <c r="B1314" t="s">
        <v>70</v>
      </c>
      <c r="C1314" t="s">
        <v>47</v>
      </c>
      <c r="D1314" t="s">
        <v>59</v>
      </c>
      <c r="E1314" t="s">
        <v>102</v>
      </c>
      <c r="F1314" t="s">
        <v>67</v>
      </c>
      <c r="G1314" t="s">
        <v>60</v>
      </c>
      <c r="H1314" t="s">
        <v>56</v>
      </c>
      <c r="I1314" t="s">
        <v>33</v>
      </c>
      <c r="J1314" s="2">
        <v>45080</v>
      </c>
      <c r="K1314" s="2">
        <v>45081</v>
      </c>
      <c r="L1314" s="2">
        <v>45088</v>
      </c>
      <c r="M1314" s="2">
        <v>45095</v>
      </c>
      <c r="N1314" s="2">
        <v>45119</v>
      </c>
      <c r="O1314">
        <v>1</v>
      </c>
      <c r="P1314">
        <v>0</v>
      </c>
      <c r="Q1314">
        <v>0</v>
      </c>
      <c r="R1314">
        <v>0</v>
      </c>
      <c r="S1314">
        <v>0</v>
      </c>
      <c r="T1314" t="s">
        <v>34</v>
      </c>
      <c r="U1314">
        <v>53</v>
      </c>
      <c r="W1314">
        <v>11</v>
      </c>
    </row>
    <row r="1315" spans="1:25">
      <c r="A1315" s="1" t="s">
        <v>1384</v>
      </c>
      <c r="B1315" t="s">
        <v>70</v>
      </c>
      <c r="C1315" t="s">
        <v>78</v>
      </c>
      <c r="D1315" t="s">
        <v>52</v>
      </c>
      <c r="E1315" t="s">
        <v>29</v>
      </c>
      <c r="F1315" t="s">
        <v>48</v>
      </c>
      <c r="G1315" t="s">
        <v>39</v>
      </c>
      <c r="H1315" t="s">
        <v>32</v>
      </c>
      <c r="I1315" t="s">
        <v>41</v>
      </c>
      <c r="J1315" s="2">
        <v>45409</v>
      </c>
      <c r="K1315" s="2">
        <v>45414</v>
      </c>
      <c r="L1315" s="2">
        <v>45424</v>
      </c>
      <c r="M1315" s="2">
        <v>45428</v>
      </c>
      <c r="N1315" s="2">
        <v>45445</v>
      </c>
      <c r="O1315">
        <v>1</v>
      </c>
      <c r="P1315">
        <v>1</v>
      </c>
      <c r="Q1315">
        <v>1</v>
      </c>
      <c r="R1315">
        <v>0</v>
      </c>
      <c r="S1315">
        <v>0</v>
      </c>
      <c r="T1315" t="s">
        <v>49</v>
      </c>
      <c r="U1315">
        <v>49</v>
      </c>
      <c r="W1315">
        <v>6</v>
      </c>
      <c r="X1315">
        <v>1631545</v>
      </c>
      <c r="Y1315" t="s">
        <v>127</v>
      </c>
    </row>
    <row r="1316" spans="1:25">
      <c r="A1316" s="1" t="s">
        <v>1385</v>
      </c>
      <c r="B1316" t="s">
        <v>90</v>
      </c>
      <c r="C1316" t="s">
        <v>78</v>
      </c>
      <c r="D1316" t="s">
        <v>44</v>
      </c>
      <c r="E1316" t="s">
        <v>29</v>
      </c>
      <c r="F1316" t="s">
        <v>38</v>
      </c>
      <c r="G1316" t="s">
        <v>31</v>
      </c>
      <c r="H1316" t="s">
        <v>32</v>
      </c>
      <c r="I1316" t="s">
        <v>33</v>
      </c>
      <c r="J1316" s="2">
        <v>45464</v>
      </c>
      <c r="K1316" s="2">
        <v>45467</v>
      </c>
      <c r="L1316" s="2">
        <v>45475</v>
      </c>
      <c r="M1316" s="2">
        <v>45481</v>
      </c>
      <c r="N1316" s="2">
        <v>45496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74</v>
      </c>
      <c r="U1316">
        <v>86</v>
      </c>
      <c r="W1316">
        <v>9</v>
      </c>
    </row>
    <row r="1317" spans="1:25">
      <c r="A1317" s="1" t="s">
        <v>1386</v>
      </c>
      <c r="B1317" t="s">
        <v>58</v>
      </c>
      <c r="C1317" t="s">
        <v>78</v>
      </c>
      <c r="D1317" t="s">
        <v>59</v>
      </c>
      <c r="E1317" t="s">
        <v>102</v>
      </c>
      <c r="F1317" t="s">
        <v>30</v>
      </c>
      <c r="G1317" t="s">
        <v>60</v>
      </c>
      <c r="H1317" t="s">
        <v>32</v>
      </c>
      <c r="I1317" t="s">
        <v>41</v>
      </c>
      <c r="J1317" s="2">
        <v>45075</v>
      </c>
      <c r="K1317" s="2">
        <v>45080</v>
      </c>
      <c r="L1317" s="2">
        <v>45090</v>
      </c>
      <c r="M1317" s="2">
        <v>45096</v>
      </c>
      <c r="N1317" s="2">
        <v>45092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74</v>
      </c>
      <c r="U1317">
        <v>71</v>
      </c>
      <c r="W1317">
        <v>9</v>
      </c>
    </row>
    <row r="1318" spans="1:25">
      <c r="A1318" s="1" t="s">
        <v>1387</v>
      </c>
      <c r="B1318" t="s">
        <v>70</v>
      </c>
      <c r="C1318" t="s">
        <v>78</v>
      </c>
      <c r="D1318" t="s">
        <v>28</v>
      </c>
      <c r="E1318" t="s">
        <v>102</v>
      </c>
      <c r="F1318" t="s">
        <v>38</v>
      </c>
      <c r="G1318" t="s">
        <v>55</v>
      </c>
      <c r="H1318" t="s">
        <v>32</v>
      </c>
      <c r="I1318" t="s">
        <v>33</v>
      </c>
      <c r="J1318" s="2">
        <v>45446</v>
      </c>
      <c r="K1318" s="2">
        <v>45448</v>
      </c>
      <c r="L1318" s="2">
        <v>45456</v>
      </c>
      <c r="M1318" s="2">
        <v>45461</v>
      </c>
      <c r="N1318" s="2">
        <v>45471</v>
      </c>
      <c r="O1318">
        <v>1</v>
      </c>
      <c r="P1318">
        <v>1</v>
      </c>
      <c r="Q1318">
        <v>1</v>
      </c>
      <c r="R1318">
        <v>0</v>
      </c>
      <c r="S1318">
        <v>1</v>
      </c>
      <c r="T1318" t="s">
        <v>49</v>
      </c>
      <c r="U1318">
        <v>68</v>
      </c>
      <c r="W1318">
        <v>9</v>
      </c>
      <c r="X1318">
        <v>1869311</v>
      </c>
      <c r="Y1318" t="s">
        <v>50</v>
      </c>
    </row>
    <row r="1319" spans="1:25">
      <c r="A1319" s="1" t="s">
        <v>1388</v>
      </c>
      <c r="B1319" t="s">
        <v>90</v>
      </c>
      <c r="C1319" t="s">
        <v>27</v>
      </c>
      <c r="D1319" t="s">
        <v>73</v>
      </c>
      <c r="E1319" t="s">
        <v>29</v>
      </c>
      <c r="F1319" t="s">
        <v>48</v>
      </c>
      <c r="G1319" t="s">
        <v>31</v>
      </c>
      <c r="H1319" t="s">
        <v>56</v>
      </c>
      <c r="I1319" t="s">
        <v>41</v>
      </c>
      <c r="J1319" s="2">
        <v>45008</v>
      </c>
      <c r="K1319" s="2">
        <v>45010</v>
      </c>
      <c r="L1319" s="2">
        <v>45016</v>
      </c>
      <c r="M1319" s="2">
        <v>45020</v>
      </c>
      <c r="N1319" s="2">
        <v>45039</v>
      </c>
      <c r="O1319">
        <v>1</v>
      </c>
      <c r="P1319">
        <v>1</v>
      </c>
      <c r="Q1319">
        <v>0</v>
      </c>
      <c r="R1319">
        <v>0</v>
      </c>
      <c r="S1319">
        <v>0</v>
      </c>
      <c r="T1319" t="s">
        <v>34</v>
      </c>
      <c r="U1319">
        <v>64</v>
      </c>
      <c r="W1319">
        <v>2</v>
      </c>
    </row>
    <row r="1320" spans="1:25">
      <c r="A1320" s="1" t="s">
        <v>1389</v>
      </c>
      <c r="B1320" t="s">
        <v>26</v>
      </c>
      <c r="C1320" t="s">
        <v>47</v>
      </c>
      <c r="D1320" t="s">
        <v>59</v>
      </c>
      <c r="E1320" t="s">
        <v>29</v>
      </c>
      <c r="F1320" t="s">
        <v>76</v>
      </c>
      <c r="G1320" t="s">
        <v>31</v>
      </c>
      <c r="H1320" t="s">
        <v>40</v>
      </c>
      <c r="I1320" t="s">
        <v>41</v>
      </c>
      <c r="J1320" s="2">
        <v>45163</v>
      </c>
      <c r="K1320" s="2">
        <v>45166</v>
      </c>
      <c r="L1320" s="2">
        <v>45171</v>
      </c>
      <c r="M1320" s="2">
        <v>45173</v>
      </c>
      <c r="N1320" s="2">
        <v>45185</v>
      </c>
      <c r="O1320">
        <v>1</v>
      </c>
      <c r="P1320">
        <v>0</v>
      </c>
      <c r="Q1320">
        <v>0</v>
      </c>
      <c r="R1320">
        <v>0</v>
      </c>
      <c r="S1320">
        <v>0</v>
      </c>
      <c r="T1320" t="s">
        <v>34</v>
      </c>
      <c r="U1320">
        <v>48</v>
      </c>
      <c r="W1320">
        <v>14</v>
      </c>
    </row>
    <row r="1321" spans="1:25">
      <c r="A1321" s="1" t="s">
        <v>1390</v>
      </c>
      <c r="B1321" t="s">
        <v>70</v>
      </c>
      <c r="C1321" t="s">
        <v>37</v>
      </c>
      <c r="D1321" t="s">
        <v>59</v>
      </c>
      <c r="E1321" t="s">
        <v>66</v>
      </c>
      <c r="F1321" t="s">
        <v>64</v>
      </c>
      <c r="G1321" t="s">
        <v>39</v>
      </c>
      <c r="H1321" t="s">
        <v>56</v>
      </c>
      <c r="I1321" t="s">
        <v>33</v>
      </c>
      <c r="J1321" s="2">
        <v>45042</v>
      </c>
      <c r="K1321" s="2">
        <v>45044</v>
      </c>
      <c r="L1321" s="2">
        <v>45052</v>
      </c>
      <c r="M1321" s="2">
        <v>45056</v>
      </c>
      <c r="N1321" s="2">
        <v>45062</v>
      </c>
      <c r="O1321">
        <v>1</v>
      </c>
      <c r="P1321">
        <v>0</v>
      </c>
      <c r="Q1321">
        <v>0</v>
      </c>
      <c r="R1321">
        <v>0</v>
      </c>
      <c r="S1321">
        <v>0</v>
      </c>
      <c r="T1321" t="s">
        <v>34</v>
      </c>
      <c r="U1321">
        <v>46</v>
      </c>
      <c r="W1321">
        <v>1</v>
      </c>
    </row>
    <row r="1322" spans="1:25">
      <c r="A1322" s="1" t="s">
        <v>1391</v>
      </c>
      <c r="B1322" t="s">
        <v>43</v>
      </c>
      <c r="C1322" t="s">
        <v>27</v>
      </c>
      <c r="D1322" t="s">
        <v>44</v>
      </c>
      <c r="E1322" t="s">
        <v>63</v>
      </c>
      <c r="F1322" t="s">
        <v>30</v>
      </c>
      <c r="G1322" t="s">
        <v>45</v>
      </c>
      <c r="H1322" t="s">
        <v>56</v>
      </c>
      <c r="I1322" t="s">
        <v>41</v>
      </c>
      <c r="J1322" s="2">
        <v>45025</v>
      </c>
      <c r="K1322" s="2">
        <v>45030</v>
      </c>
      <c r="L1322" s="2">
        <v>45034</v>
      </c>
      <c r="M1322" s="2">
        <v>45040</v>
      </c>
      <c r="N1322" s="2">
        <v>45044</v>
      </c>
      <c r="O1322">
        <v>1</v>
      </c>
      <c r="P1322">
        <v>1</v>
      </c>
      <c r="Q1322">
        <v>1</v>
      </c>
      <c r="R1322">
        <v>0</v>
      </c>
      <c r="S1322">
        <v>0</v>
      </c>
      <c r="T1322" t="s">
        <v>49</v>
      </c>
      <c r="U1322">
        <v>80</v>
      </c>
      <c r="W1322">
        <v>2</v>
      </c>
      <c r="X1322">
        <v>542684</v>
      </c>
      <c r="Y1322" t="s">
        <v>50</v>
      </c>
    </row>
    <row r="1323" spans="1:25">
      <c r="A1323" s="1" t="s">
        <v>1392</v>
      </c>
      <c r="B1323" t="s">
        <v>90</v>
      </c>
      <c r="C1323" t="s">
        <v>78</v>
      </c>
      <c r="D1323" t="s">
        <v>59</v>
      </c>
      <c r="E1323" t="s">
        <v>29</v>
      </c>
      <c r="F1323" t="s">
        <v>76</v>
      </c>
      <c r="G1323" t="s">
        <v>55</v>
      </c>
      <c r="H1323" t="s">
        <v>56</v>
      </c>
      <c r="I1323" t="s">
        <v>41</v>
      </c>
      <c r="J1323" s="2">
        <v>44929</v>
      </c>
      <c r="K1323" s="2">
        <v>44933</v>
      </c>
      <c r="L1323" s="2">
        <v>44940</v>
      </c>
      <c r="M1323" s="2">
        <v>44946</v>
      </c>
      <c r="N1323" s="2">
        <v>44959</v>
      </c>
      <c r="O1323">
        <v>1</v>
      </c>
      <c r="P1323">
        <v>0</v>
      </c>
      <c r="Q1323">
        <v>0</v>
      </c>
      <c r="R1323">
        <v>0</v>
      </c>
      <c r="S1323">
        <v>0</v>
      </c>
      <c r="T1323" t="s">
        <v>34</v>
      </c>
      <c r="U1323">
        <v>47</v>
      </c>
      <c r="W1323">
        <v>6</v>
      </c>
    </row>
    <row r="1324" spans="1:25">
      <c r="A1324" s="1" t="s">
        <v>1393</v>
      </c>
      <c r="B1324" t="s">
        <v>90</v>
      </c>
      <c r="C1324" t="s">
        <v>71</v>
      </c>
      <c r="D1324" t="s">
        <v>59</v>
      </c>
      <c r="E1324" t="s">
        <v>54</v>
      </c>
      <c r="F1324" t="s">
        <v>48</v>
      </c>
      <c r="G1324" t="s">
        <v>55</v>
      </c>
      <c r="H1324" t="s">
        <v>40</v>
      </c>
      <c r="I1324" t="s">
        <v>33</v>
      </c>
      <c r="J1324" s="2">
        <v>44952</v>
      </c>
      <c r="K1324" s="2">
        <v>44953</v>
      </c>
      <c r="L1324" s="2">
        <v>44959</v>
      </c>
      <c r="M1324" s="2">
        <v>44963</v>
      </c>
      <c r="N1324" s="2">
        <v>44971</v>
      </c>
      <c r="O1324">
        <v>1</v>
      </c>
      <c r="P1324">
        <v>0</v>
      </c>
      <c r="Q1324">
        <v>0</v>
      </c>
      <c r="R1324">
        <v>0</v>
      </c>
      <c r="S1324">
        <v>0</v>
      </c>
      <c r="T1324" t="s">
        <v>34</v>
      </c>
      <c r="U1324">
        <v>49</v>
      </c>
      <c r="W1324">
        <v>4</v>
      </c>
    </row>
    <row r="1325" spans="1:25">
      <c r="A1325" s="1" t="s">
        <v>1394</v>
      </c>
      <c r="B1325" t="s">
        <v>70</v>
      </c>
      <c r="C1325" t="s">
        <v>71</v>
      </c>
      <c r="D1325" t="s">
        <v>28</v>
      </c>
      <c r="E1325" t="s">
        <v>54</v>
      </c>
      <c r="F1325" t="s">
        <v>30</v>
      </c>
      <c r="G1325" t="s">
        <v>31</v>
      </c>
      <c r="H1325" t="s">
        <v>56</v>
      </c>
      <c r="I1325" t="s">
        <v>33</v>
      </c>
      <c r="J1325" s="2">
        <v>45319</v>
      </c>
      <c r="K1325" s="2">
        <v>45322</v>
      </c>
      <c r="L1325" s="2">
        <v>45326</v>
      </c>
      <c r="M1325" s="2">
        <v>45328</v>
      </c>
      <c r="N1325" s="2">
        <v>45352</v>
      </c>
      <c r="O1325">
        <v>1</v>
      </c>
      <c r="P1325">
        <v>1</v>
      </c>
      <c r="Q1325">
        <v>1</v>
      </c>
      <c r="R1325">
        <v>1</v>
      </c>
      <c r="S1325">
        <v>0</v>
      </c>
      <c r="T1325" t="s">
        <v>61</v>
      </c>
      <c r="U1325">
        <v>82</v>
      </c>
      <c r="V1325">
        <v>33</v>
      </c>
      <c r="W1325">
        <v>7</v>
      </c>
      <c r="X1325">
        <v>1328878</v>
      </c>
    </row>
    <row r="1326" spans="1:25">
      <c r="A1326" s="1" t="s">
        <v>1395</v>
      </c>
      <c r="B1326" t="s">
        <v>58</v>
      </c>
      <c r="C1326" t="s">
        <v>47</v>
      </c>
      <c r="D1326" t="s">
        <v>52</v>
      </c>
      <c r="E1326" t="s">
        <v>29</v>
      </c>
      <c r="F1326" t="s">
        <v>64</v>
      </c>
      <c r="G1326" t="s">
        <v>39</v>
      </c>
      <c r="H1326" t="s">
        <v>32</v>
      </c>
      <c r="I1326" t="s">
        <v>41</v>
      </c>
      <c r="J1326" s="2">
        <v>45144</v>
      </c>
      <c r="K1326" s="2">
        <v>45148</v>
      </c>
      <c r="L1326" s="2">
        <v>45155</v>
      </c>
      <c r="M1326" s="2">
        <v>45158</v>
      </c>
      <c r="N1326" s="2">
        <v>45161</v>
      </c>
      <c r="O1326">
        <v>1</v>
      </c>
      <c r="P1326">
        <v>1</v>
      </c>
      <c r="Q1326">
        <v>1</v>
      </c>
      <c r="R1326">
        <v>0</v>
      </c>
      <c r="S1326">
        <v>0</v>
      </c>
      <c r="T1326" t="s">
        <v>49</v>
      </c>
      <c r="U1326">
        <v>49</v>
      </c>
      <c r="W1326">
        <v>11</v>
      </c>
      <c r="X1326">
        <v>2615333</v>
      </c>
      <c r="Y1326" t="s">
        <v>68</v>
      </c>
    </row>
    <row r="1327" spans="1:25">
      <c r="A1327" s="1" t="s">
        <v>1396</v>
      </c>
      <c r="B1327" t="s">
        <v>36</v>
      </c>
      <c r="C1327" t="s">
        <v>37</v>
      </c>
      <c r="D1327" t="s">
        <v>73</v>
      </c>
      <c r="E1327" t="s">
        <v>66</v>
      </c>
      <c r="F1327" t="s">
        <v>30</v>
      </c>
      <c r="G1327" t="s">
        <v>39</v>
      </c>
      <c r="H1327" t="s">
        <v>56</v>
      </c>
      <c r="I1327" t="s">
        <v>33</v>
      </c>
      <c r="J1327" s="2">
        <v>45373</v>
      </c>
      <c r="K1327" s="2">
        <v>45377</v>
      </c>
      <c r="L1327" s="2">
        <v>45385</v>
      </c>
      <c r="M1327" s="2">
        <v>45390</v>
      </c>
      <c r="N1327" s="2">
        <v>45391</v>
      </c>
      <c r="O1327">
        <v>1</v>
      </c>
      <c r="P1327">
        <v>1</v>
      </c>
      <c r="Q1327">
        <v>0</v>
      </c>
      <c r="R1327">
        <v>0</v>
      </c>
      <c r="S1327">
        <v>0</v>
      </c>
      <c r="T1327" t="s">
        <v>34</v>
      </c>
      <c r="U1327">
        <v>87</v>
      </c>
      <c r="W1327">
        <v>4</v>
      </c>
    </row>
    <row r="1328" spans="1:25">
      <c r="A1328" s="1" t="s">
        <v>1397</v>
      </c>
      <c r="B1328" t="s">
        <v>26</v>
      </c>
      <c r="C1328" t="s">
        <v>27</v>
      </c>
      <c r="D1328" t="s">
        <v>73</v>
      </c>
      <c r="E1328" t="s">
        <v>66</v>
      </c>
      <c r="F1328" t="s">
        <v>30</v>
      </c>
      <c r="G1328" t="s">
        <v>60</v>
      </c>
      <c r="H1328" t="s">
        <v>40</v>
      </c>
      <c r="I1328" t="s">
        <v>33</v>
      </c>
      <c r="J1328" s="2">
        <v>45168</v>
      </c>
      <c r="K1328" s="2">
        <v>45171</v>
      </c>
      <c r="L1328" s="2">
        <v>45176</v>
      </c>
      <c r="M1328" s="2">
        <v>45181</v>
      </c>
      <c r="N1328" s="2">
        <v>45187</v>
      </c>
      <c r="O1328">
        <v>1</v>
      </c>
      <c r="P1328">
        <v>1</v>
      </c>
      <c r="Q1328">
        <v>1</v>
      </c>
      <c r="R1328">
        <v>0</v>
      </c>
      <c r="S1328">
        <v>0</v>
      </c>
      <c r="T1328" t="s">
        <v>49</v>
      </c>
      <c r="U1328">
        <v>72</v>
      </c>
      <c r="W1328">
        <v>0</v>
      </c>
      <c r="X1328">
        <v>450245</v>
      </c>
      <c r="Y1328" t="s">
        <v>127</v>
      </c>
    </row>
    <row r="1329" spans="1:25">
      <c r="A1329" s="1" t="s">
        <v>1398</v>
      </c>
      <c r="B1329" t="s">
        <v>58</v>
      </c>
      <c r="C1329" t="s">
        <v>78</v>
      </c>
      <c r="D1329" t="s">
        <v>44</v>
      </c>
      <c r="E1329" t="s">
        <v>102</v>
      </c>
      <c r="F1329" t="s">
        <v>30</v>
      </c>
      <c r="G1329" t="s">
        <v>55</v>
      </c>
      <c r="H1329" t="s">
        <v>40</v>
      </c>
      <c r="I1329" t="s">
        <v>41</v>
      </c>
      <c r="J1329" s="2">
        <v>45407</v>
      </c>
      <c r="K1329" s="2">
        <v>45410</v>
      </c>
      <c r="L1329" s="2">
        <v>45418</v>
      </c>
      <c r="M1329" s="2">
        <v>45423</v>
      </c>
      <c r="N1329" s="2">
        <v>45424</v>
      </c>
      <c r="O1329">
        <v>1</v>
      </c>
      <c r="P1329">
        <v>0</v>
      </c>
      <c r="Q1329">
        <v>0</v>
      </c>
      <c r="R1329">
        <v>0</v>
      </c>
      <c r="S1329">
        <v>0</v>
      </c>
      <c r="T1329" t="s">
        <v>34</v>
      </c>
      <c r="U1329">
        <v>55</v>
      </c>
      <c r="W1329">
        <v>9</v>
      </c>
    </row>
    <row r="1330" spans="1:25">
      <c r="A1330" s="1" t="s">
        <v>1399</v>
      </c>
      <c r="B1330" t="s">
        <v>70</v>
      </c>
      <c r="C1330" t="s">
        <v>78</v>
      </c>
      <c r="D1330" t="s">
        <v>44</v>
      </c>
      <c r="E1330" t="s">
        <v>102</v>
      </c>
      <c r="F1330" t="s">
        <v>76</v>
      </c>
      <c r="G1330" t="s">
        <v>39</v>
      </c>
      <c r="H1330" t="s">
        <v>56</v>
      </c>
      <c r="I1330" t="s">
        <v>41</v>
      </c>
      <c r="J1330" s="2">
        <v>44931</v>
      </c>
      <c r="K1330" s="2">
        <v>44933</v>
      </c>
      <c r="L1330" s="2">
        <v>44939</v>
      </c>
      <c r="M1330" s="2">
        <v>44942</v>
      </c>
      <c r="N1330" s="2">
        <v>44959</v>
      </c>
      <c r="O1330">
        <v>1</v>
      </c>
      <c r="P1330">
        <v>1</v>
      </c>
      <c r="Q1330">
        <v>0</v>
      </c>
      <c r="R1330">
        <v>0</v>
      </c>
      <c r="S1330">
        <v>0</v>
      </c>
      <c r="T1330" t="s">
        <v>34</v>
      </c>
      <c r="U1330">
        <v>99</v>
      </c>
      <c r="W1330">
        <v>9</v>
      </c>
    </row>
    <row r="1331" spans="1:25">
      <c r="A1331" s="1" t="s">
        <v>1400</v>
      </c>
      <c r="B1331" t="s">
        <v>26</v>
      </c>
      <c r="C1331" t="s">
        <v>37</v>
      </c>
      <c r="D1331" t="s">
        <v>59</v>
      </c>
      <c r="E1331" t="s">
        <v>102</v>
      </c>
      <c r="F1331" t="s">
        <v>67</v>
      </c>
      <c r="G1331" t="s">
        <v>55</v>
      </c>
      <c r="H1331" t="s">
        <v>56</v>
      </c>
      <c r="I1331" t="s">
        <v>41</v>
      </c>
      <c r="J1331" s="2">
        <v>45346</v>
      </c>
      <c r="K1331" s="2">
        <v>45349</v>
      </c>
      <c r="L1331" s="2">
        <v>45357</v>
      </c>
      <c r="M1331" s="2">
        <v>45363</v>
      </c>
      <c r="N1331" s="2">
        <v>45367</v>
      </c>
      <c r="O1331">
        <v>1</v>
      </c>
      <c r="P1331">
        <v>0</v>
      </c>
      <c r="Q1331">
        <v>0</v>
      </c>
      <c r="R1331">
        <v>0</v>
      </c>
      <c r="S1331">
        <v>1</v>
      </c>
      <c r="T1331" t="s">
        <v>34</v>
      </c>
      <c r="U1331">
        <v>69</v>
      </c>
      <c r="W1331">
        <v>4</v>
      </c>
    </row>
    <row r="1332" spans="1:25">
      <c r="A1332" s="1" t="s">
        <v>1401</v>
      </c>
      <c r="B1332" t="s">
        <v>70</v>
      </c>
      <c r="C1332" t="s">
        <v>27</v>
      </c>
      <c r="D1332" t="s">
        <v>73</v>
      </c>
      <c r="E1332" t="s">
        <v>66</v>
      </c>
      <c r="F1332" t="s">
        <v>67</v>
      </c>
      <c r="G1332" t="s">
        <v>60</v>
      </c>
      <c r="H1332" t="s">
        <v>32</v>
      </c>
      <c r="I1332" t="s">
        <v>33</v>
      </c>
      <c r="J1332" s="2">
        <v>45254</v>
      </c>
      <c r="K1332" s="2">
        <v>45258</v>
      </c>
      <c r="L1332" s="2">
        <v>45262</v>
      </c>
      <c r="M1332" s="2">
        <v>45266</v>
      </c>
      <c r="N1332" s="2">
        <v>45284</v>
      </c>
      <c r="O1332">
        <v>1</v>
      </c>
      <c r="P1332">
        <v>1</v>
      </c>
      <c r="Q1332">
        <v>1</v>
      </c>
      <c r="R1332">
        <v>0</v>
      </c>
      <c r="S1332">
        <v>0</v>
      </c>
      <c r="T1332" t="s">
        <v>49</v>
      </c>
      <c r="U1332">
        <v>85</v>
      </c>
      <c r="W1332">
        <v>0</v>
      </c>
      <c r="X1332">
        <v>423295</v>
      </c>
      <c r="Y1332" t="s">
        <v>80</v>
      </c>
    </row>
    <row r="1333" spans="1:25">
      <c r="A1333" s="1" t="s">
        <v>1402</v>
      </c>
      <c r="B1333" t="s">
        <v>26</v>
      </c>
      <c r="C1333" t="s">
        <v>27</v>
      </c>
      <c r="D1333" t="s">
        <v>44</v>
      </c>
      <c r="E1333" t="s">
        <v>66</v>
      </c>
      <c r="F1333" t="s">
        <v>76</v>
      </c>
      <c r="G1333" t="s">
        <v>31</v>
      </c>
      <c r="H1333" t="s">
        <v>32</v>
      </c>
      <c r="I1333" t="s">
        <v>41</v>
      </c>
      <c r="J1333" s="2">
        <v>45470</v>
      </c>
      <c r="K1333" s="2">
        <v>45472</v>
      </c>
      <c r="L1333" s="2">
        <v>45478</v>
      </c>
      <c r="M1333" s="2">
        <v>45485</v>
      </c>
      <c r="N1333" s="2">
        <v>45490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74</v>
      </c>
      <c r="U1333">
        <v>93</v>
      </c>
      <c r="W1333">
        <v>0</v>
      </c>
    </row>
    <row r="1334" spans="1:25">
      <c r="A1334" s="1" t="s">
        <v>1403</v>
      </c>
      <c r="B1334" t="s">
        <v>70</v>
      </c>
      <c r="C1334" t="s">
        <v>78</v>
      </c>
      <c r="D1334" t="s">
        <v>44</v>
      </c>
      <c r="E1334" t="s">
        <v>29</v>
      </c>
      <c r="F1334" t="s">
        <v>48</v>
      </c>
      <c r="G1334" t="s">
        <v>60</v>
      </c>
      <c r="H1334" t="s">
        <v>56</v>
      </c>
      <c r="I1334" t="s">
        <v>33</v>
      </c>
      <c r="J1334" s="2">
        <v>45454</v>
      </c>
      <c r="K1334" s="2">
        <v>45458</v>
      </c>
      <c r="L1334" s="2">
        <v>45467</v>
      </c>
      <c r="M1334" s="2">
        <v>45473</v>
      </c>
      <c r="N1334" s="2">
        <v>45478</v>
      </c>
      <c r="O1334">
        <v>1</v>
      </c>
      <c r="P1334">
        <v>1</v>
      </c>
      <c r="Q1334">
        <v>1</v>
      </c>
      <c r="R1334">
        <v>1</v>
      </c>
      <c r="S1334">
        <v>0</v>
      </c>
      <c r="T1334" t="s">
        <v>61</v>
      </c>
      <c r="U1334">
        <v>93</v>
      </c>
      <c r="V1334">
        <v>24</v>
      </c>
      <c r="W1334">
        <v>10</v>
      </c>
      <c r="X1334">
        <v>1527204</v>
      </c>
    </row>
    <row r="1335" spans="1:25">
      <c r="A1335" s="1" t="s">
        <v>1404</v>
      </c>
      <c r="B1335" t="s">
        <v>70</v>
      </c>
      <c r="C1335" t="s">
        <v>37</v>
      </c>
      <c r="D1335" t="s">
        <v>52</v>
      </c>
      <c r="E1335" t="s">
        <v>102</v>
      </c>
      <c r="F1335" t="s">
        <v>67</v>
      </c>
      <c r="G1335" t="s">
        <v>39</v>
      </c>
      <c r="H1335" t="s">
        <v>56</v>
      </c>
      <c r="I1335" t="s">
        <v>41</v>
      </c>
      <c r="J1335" s="2">
        <v>45388</v>
      </c>
      <c r="K1335" s="2">
        <v>45392</v>
      </c>
      <c r="L1335" s="2">
        <v>45399</v>
      </c>
      <c r="M1335" s="2">
        <v>45405</v>
      </c>
      <c r="N1335" s="2">
        <v>45412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74</v>
      </c>
      <c r="U1335">
        <v>69</v>
      </c>
      <c r="W1335">
        <v>2</v>
      </c>
    </row>
    <row r="1336" spans="1:25">
      <c r="A1336" s="1" t="s">
        <v>1405</v>
      </c>
      <c r="B1336" t="s">
        <v>58</v>
      </c>
      <c r="C1336" t="s">
        <v>71</v>
      </c>
      <c r="D1336" t="s">
        <v>44</v>
      </c>
      <c r="E1336" t="s">
        <v>102</v>
      </c>
      <c r="F1336" t="s">
        <v>67</v>
      </c>
      <c r="G1336" t="s">
        <v>39</v>
      </c>
      <c r="H1336" t="s">
        <v>56</v>
      </c>
      <c r="I1336" t="s">
        <v>41</v>
      </c>
      <c r="J1336" s="2">
        <v>45336</v>
      </c>
      <c r="K1336" s="2">
        <v>45338</v>
      </c>
      <c r="L1336" s="2">
        <v>45347</v>
      </c>
      <c r="M1336" s="2">
        <v>45349</v>
      </c>
      <c r="N1336" s="2">
        <v>45346</v>
      </c>
      <c r="O1336">
        <v>1</v>
      </c>
      <c r="P1336">
        <v>1</v>
      </c>
      <c r="Q1336">
        <v>1</v>
      </c>
      <c r="R1336">
        <v>0</v>
      </c>
      <c r="S1336">
        <v>0</v>
      </c>
      <c r="T1336" t="s">
        <v>49</v>
      </c>
      <c r="U1336">
        <v>56</v>
      </c>
      <c r="W1336">
        <v>5</v>
      </c>
      <c r="X1336">
        <v>1113222</v>
      </c>
      <c r="Y1336" t="s">
        <v>50</v>
      </c>
    </row>
    <row r="1337" spans="1:25">
      <c r="A1337" s="1" t="s">
        <v>1406</v>
      </c>
      <c r="B1337" t="s">
        <v>36</v>
      </c>
      <c r="C1337" t="s">
        <v>78</v>
      </c>
      <c r="D1337" t="s">
        <v>44</v>
      </c>
      <c r="E1337" t="s">
        <v>63</v>
      </c>
      <c r="F1337" t="s">
        <v>30</v>
      </c>
      <c r="G1337" t="s">
        <v>31</v>
      </c>
      <c r="H1337" t="s">
        <v>56</v>
      </c>
      <c r="I1337" t="s">
        <v>33</v>
      </c>
      <c r="J1337" s="2">
        <v>45375</v>
      </c>
      <c r="K1337" s="2">
        <v>45379</v>
      </c>
      <c r="L1337" s="2">
        <v>45383</v>
      </c>
      <c r="M1337" s="2">
        <v>45389</v>
      </c>
      <c r="N1337" s="2">
        <v>45391</v>
      </c>
      <c r="O1337">
        <v>1</v>
      </c>
      <c r="P1337">
        <v>1</v>
      </c>
      <c r="Q1337">
        <v>1</v>
      </c>
      <c r="R1337">
        <v>1</v>
      </c>
      <c r="S1337">
        <v>0</v>
      </c>
      <c r="T1337" t="s">
        <v>61</v>
      </c>
      <c r="U1337">
        <v>97</v>
      </c>
      <c r="V1337">
        <v>16</v>
      </c>
      <c r="W1337">
        <v>6</v>
      </c>
      <c r="X1337">
        <v>1709111</v>
      </c>
    </row>
    <row r="1338" spans="1:25">
      <c r="A1338" s="1" t="s">
        <v>1407</v>
      </c>
      <c r="B1338" t="s">
        <v>70</v>
      </c>
      <c r="C1338" t="s">
        <v>37</v>
      </c>
      <c r="D1338" t="s">
        <v>59</v>
      </c>
      <c r="E1338" t="s">
        <v>54</v>
      </c>
      <c r="F1338" t="s">
        <v>67</v>
      </c>
      <c r="G1338" t="s">
        <v>55</v>
      </c>
      <c r="H1338" t="s">
        <v>32</v>
      </c>
      <c r="I1338" t="s">
        <v>41</v>
      </c>
      <c r="J1338" s="2">
        <v>45091</v>
      </c>
      <c r="K1338" s="2">
        <v>45093</v>
      </c>
      <c r="L1338" s="2">
        <v>45098</v>
      </c>
      <c r="M1338" s="2">
        <v>45103</v>
      </c>
      <c r="N1338" s="2">
        <v>45130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74</v>
      </c>
      <c r="U1338">
        <v>90</v>
      </c>
      <c r="W1338">
        <v>2</v>
      </c>
    </row>
    <row r="1339" spans="1:25">
      <c r="A1339" s="1" t="s">
        <v>1408</v>
      </c>
      <c r="B1339" t="s">
        <v>43</v>
      </c>
      <c r="C1339" t="s">
        <v>27</v>
      </c>
      <c r="D1339" t="s">
        <v>59</v>
      </c>
      <c r="E1339" t="s">
        <v>63</v>
      </c>
      <c r="F1339" t="s">
        <v>76</v>
      </c>
      <c r="G1339" t="s">
        <v>45</v>
      </c>
      <c r="H1339" t="s">
        <v>32</v>
      </c>
      <c r="I1339" t="s">
        <v>33</v>
      </c>
      <c r="J1339" s="2">
        <v>45415</v>
      </c>
      <c r="K1339" s="2">
        <v>45420</v>
      </c>
      <c r="L1339" s="2">
        <v>45425</v>
      </c>
      <c r="M1339" s="2">
        <v>45430</v>
      </c>
      <c r="N1339" s="2">
        <v>45433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74</v>
      </c>
      <c r="U1339">
        <v>99</v>
      </c>
      <c r="W1339">
        <v>2</v>
      </c>
    </row>
    <row r="1340" spans="1:25">
      <c r="A1340" s="1" t="s">
        <v>1409</v>
      </c>
      <c r="B1340" t="s">
        <v>26</v>
      </c>
      <c r="C1340" t="s">
        <v>47</v>
      </c>
      <c r="D1340" t="s">
        <v>73</v>
      </c>
      <c r="E1340" t="s">
        <v>63</v>
      </c>
      <c r="F1340" t="s">
        <v>48</v>
      </c>
      <c r="G1340" t="s">
        <v>55</v>
      </c>
      <c r="H1340" t="s">
        <v>40</v>
      </c>
      <c r="I1340" t="s">
        <v>41</v>
      </c>
      <c r="J1340" s="2">
        <v>45206</v>
      </c>
      <c r="K1340" s="2">
        <v>45207</v>
      </c>
      <c r="L1340" s="2">
        <v>45216</v>
      </c>
      <c r="M1340" s="2">
        <v>45218</v>
      </c>
      <c r="N1340" s="2">
        <v>45219</v>
      </c>
      <c r="O1340">
        <v>1</v>
      </c>
      <c r="P1340">
        <v>1</v>
      </c>
      <c r="Q1340">
        <v>0</v>
      </c>
      <c r="R1340">
        <v>0</v>
      </c>
      <c r="S1340">
        <v>0</v>
      </c>
      <c r="T1340" t="s">
        <v>34</v>
      </c>
      <c r="U1340">
        <v>88</v>
      </c>
      <c r="W1340">
        <v>9</v>
      </c>
    </row>
    <row r="1341" spans="1:25">
      <c r="A1341" s="1" t="s">
        <v>1410</v>
      </c>
      <c r="B1341" t="s">
        <v>90</v>
      </c>
      <c r="C1341" t="s">
        <v>27</v>
      </c>
      <c r="D1341" t="s">
        <v>52</v>
      </c>
      <c r="E1341" t="s">
        <v>63</v>
      </c>
      <c r="F1341" t="s">
        <v>30</v>
      </c>
      <c r="G1341" t="s">
        <v>60</v>
      </c>
      <c r="H1341" t="s">
        <v>40</v>
      </c>
      <c r="I1341" t="s">
        <v>41</v>
      </c>
      <c r="J1341" s="2">
        <v>45206</v>
      </c>
      <c r="K1341" s="2">
        <v>45210</v>
      </c>
      <c r="L1341" s="2">
        <v>45214</v>
      </c>
      <c r="M1341" s="2">
        <v>45216</v>
      </c>
      <c r="N1341" s="2">
        <v>45235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74</v>
      </c>
      <c r="U1341">
        <v>56</v>
      </c>
      <c r="W1341">
        <v>2</v>
      </c>
    </row>
    <row r="1342" spans="1:25">
      <c r="A1342" s="1" t="s">
        <v>1411</v>
      </c>
      <c r="B1342" t="s">
        <v>70</v>
      </c>
      <c r="C1342" t="s">
        <v>47</v>
      </c>
      <c r="D1342" t="s">
        <v>73</v>
      </c>
      <c r="E1342" t="s">
        <v>66</v>
      </c>
      <c r="F1342" t="s">
        <v>48</v>
      </c>
      <c r="G1342" t="s">
        <v>39</v>
      </c>
      <c r="H1342" t="s">
        <v>32</v>
      </c>
      <c r="I1342" t="s">
        <v>41</v>
      </c>
      <c r="J1342" s="2">
        <v>44962</v>
      </c>
      <c r="K1342" s="2">
        <v>44967</v>
      </c>
      <c r="L1342" s="2">
        <v>44971</v>
      </c>
      <c r="M1342" s="2">
        <v>44973</v>
      </c>
      <c r="N1342" s="2">
        <v>44998</v>
      </c>
      <c r="O1342">
        <v>1</v>
      </c>
      <c r="P1342">
        <v>1</v>
      </c>
      <c r="Q1342">
        <v>1</v>
      </c>
      <c r="R1342">
        <v>1</v>
      </c>
      <c r="S1342">
        <v>0</v>
      </c>
      <c r="T1342" t="s">
        <v>61</v>
      </c>
      <c r="U1342">
        <v>91</v>
      </c>
      <c r="V1342">
        <v>36</v>
      </c>
      <c r="W1342">
        <v>12</v>
      </c>
      <c r="X1342">
        <v>2432536</v>
      </c>
    </row>
    <row r="1343" spans="1:25">
      <c r="A1343" s="1" t="s">
        <v>1412</v>
      </c>
      <c r="B1343" t="s">
        <v>26</v>
      </c>
      <c r="C1343" t="s">
        <v>27</v>
      </c>
      <c r="D1343" t="s">
        <v>59</v>
      </c>
      <c r="E1343" t="s">
        <v>29</v>
      </c>
      <c r="F1343" t="s">
        <v>30</v>
      </c>
      <c r="G1343" t="s">
        <v>39</v>
      </c>
      <c r="H1343" t="s">
        <v>40</v>
      </c>
      <c r="I1343" t="s">
        <v>33</v>
      </c>
      <c r="J1343" s="2">
        <v>45172</v>
      </c>
      <c r="K1343" s="2">
        <v>45174</v>
      </c>
      <c r="L1343" s="2">
        <v>45180</v>
      </c>
      <c r="M1343" s="2">
        <v>45186</v>
      </c>
      <c r="N1343" s="2">
        <v>45189</v>
      </c>
      <c r="O1343">
        <v>1</v>
      </c>
      <c r="P1343">
        <v>1</v>
      </c>
      <c r="Q1343">
        <v>1</v>
      </c>
      <c r="R1343">
        <v>0</v>
      </c>
      <c r="S1343">
        <v>0</v>
      </c>
      <c r="T1343" t="s">
        <v>49</v>
      </c>
      <c r="U1343">
        <v>72</v>
      </c>
      <c r="W1343">
        <v>0</v>
      </c>
      <c r="X1343">
        <v>652021</v>
      </c>
      <c r="Y1343" t="s">
        <v>80</v>
      </c>
    </row>
    <row r="1344" spans="1:25">
      <c r="A1344" s="1" t="s">
        <v>1413</v>
      </c>
      <c r="B1344" t="s">
        <v>43</v>
      </c>
      <c r="C1344" t="s">
        <v>71</v>
      </c>
      <c r="D1344" t="s">
        <v>44</v>
      </c>
      <c r="E1344" t="s">
        <v>102</v>
      </c>
      <c r="F1344" t="s">
        <v>67</v>
      </c>
      <c r="G1344" t="s">
        <v>39</v>
      </c>
      <c r="H1344" t="s">
        <v>40</v>
      </c>
      <c r="I1344" t="s">
        <v>41</v>
      </c>
      <c r="J1344" s="2">
        <v>45462</v>
      </c>
      <c r="K1344" s="2">
        <v>45467</v>
      </c>
      <c r="L1344" s="2">
        <v>45477</v>
      </c>
      <c r="M1344" s="2">
        <v>45484</v>
      </c>
      <c r="N1344" s="2">
        <v>45483</v>
      </c>
      <c r="O1344">
        <v>1</v>
      </c>
      <c r="P1344">
        <v>0</v>
      </c>
      <c r="Q1344">
        <v>0</v>
      </c>
      <c r="R1344">
        <v>0</v>
      </c>
      <c r="S1344">
        <v>0</v>
      </c>
      <c r="T1344" t="s">
        <v>34</v>
      </c>
      <c r="U1344">
        <v>48</v>
      </c>
      <c r="W1344">
        <v>3</v>
      </c>
    </row>
    <row r="1345" spans="1:25">
      <c r="A1345" s="1" t="s">
        <v>1414</v>
      </c>
      <c r="B1345" t="s">
        <v>43</v>
      </c>
      <c r="C1345" t="s">
        <v>47</v>
      </c>
      <c r="D1345" t="s">
        <v>59</v>
      </c>
      <c r="E1345" t="s">
        <v>63</v>
      </c>
      <c r="F1345" t="s">
        <v>67</v>
      </c>
      <c r="G1345" t="s">
        <v>60</v>
      </c>
      <c r="H1345" t="s">
        <v>56</v>
      </c>
      <c r="I1345" t="s">
        <v>41</v>
      </c>
      <c r="J1345" s="2">
        <v>45215</v>
      </c>
      <c r="K1345" s="2">
        <v>45220</v>
      </c>
      <c r="L1345" s="2">
        <v>45228</v>
      </c>
      <c r="M1345" s="2">
        <v>45232</v>
      </c>
      <c r="N1345" s="2">
        <v>45238</v>
      </c>
      <c r="O1345">
        <v>1</v>
      </c>
      <c r="P1345">
        <v>0</v>
      </c>
      <c r="Q1345">
        <v>0</v>
      </c>
      <c r="R1345">
        <v>0</v>
      </c>
      <c r="S1345">
        <v>0</v>
      </c>
      <c r="T1345" t="s">
        <v>34</v>
      </c>
      <c r="U1345">
        <v>58</v>
      </c>
      <c r="W1345">
        <v>12</v>
      </c>
    </row>
    <row r="1346" spans="1:25">
      <c r="A1346" s="1" t="s">
        <v>1415</v>
      </c>
      <c r="B1346" t="s">
        <v>26</v>
      </c>
      <c r="C1346" t="s">
        <v>47</v>
      </c>
      <c r="D1346" t="s">
        <v>44</v>
      </c>
      <c r="E1346" t="s">
        <v>66</v>
      </c>
      <c r="F1346" t="s">
        <v>30</v>
      </c>
      <c r="G1346" t="s">
        <v>39</v>
      </c>
      <c r="H1346" t="s">
        <v>32</v>
      </c>
      <c r="I1346" t="s">
        <v>33</v>
      </c>
      <c r="J1346" s="2">
        <v>45061</v>
      </c>
      <c r="K1346" s="2">
        <v>45066</v>
      </c>
      <c r="L1346" s="2">
        <v>45072</v>
      </c>
      <c r="M1346" s="2">
        <v>45074</v>
      </c>
      <c r="N1346" s="2">
        <v>45083</v>
      </c>
      <c r="O1346">
        <v>1</v>
      </c>
      <c r="P1346">
        <v>1</v>
      </c>
      <c r="Q1346">
        <v>1</v>
      </c>
      <c r="R1346">
        <v>1</v>
      </c>
      <c r="S1346">
        <v>0</v>
      </c>
      <c r="T1346" t="s">
        <v>61</v>
      </c>
      <c r="U1346">
        <v>56</v>
      </c>
      <c r="V1346">
        <v>22</v>
      </c>
      <c r="W1346">
        <v>13</v>
      </c>
      <c r="X1346">
        <v>2623057</v>
      </c>
    </row>
    <row r="1347" spans="1:25">
      <c r="A1347" s="1" t="s">
        <v>1416</v>
      </c>
      <c r="B1347" t="s">
        <v>26</v>
      </c>
      <c r="C1347" t="s">
        <v>71</v>
      </c>
      <c r="D1347" t="s">
        <v>44</v>
      </c>
      <c r="E1347" t="s">
        <v>63</v>
      </c>
      <c r="F1347" t="s">
        <v>76</v>
      </c>
      <c r="G1347" t="s">
        <v>45</v>
      </c>
      <c r="H1347" t="s">
        <v>56</v>
      </c>
      <c r="I1347" t="s">
        <v>41</v>
      </c>
      <c r="J1347" s="2">
        <v>44992</v>
      </c>
      <c r="K1347" s="2">
        <v>44994</v>
      </c>
      <c r="L1347" s="2">
        <v>45002</v>
      </c>
      <c r="M1347" s="2">
        <v>45009</v>
      </c>
      <c r="N1347" s="2">
        <v>45014</v>
      </c>
      <c r="O1347">
        <v>1</v>
      </c>
      <c r="P1347">
        <v>0</v>
      </c>
      <c r="Q1347">
        <v>0</v>
      </c>
      <c r="R1347">
        <v>0</v>
      </c>
      <c r="S1347">
        <v>0</v>
      </c>
      <c r="T1347" t="s">
        <v>34</v>
      </c>
      <c r="U1347">
        <v>79</v>
      </c>
      <c r="W1347">
        <v>5</v>
      </c>
    </row>
    <row r="1348" spans="1:25">
      <c r="A1348" s="1" t="s">
        <v>1417</v>
      </c>
      <c r="B1348" t="s">
        <v>70</v>
      </c>
      <c r="C1348" t="s">
        <v>27</v>
      </c>
      <c r="D1348" t="s">
        <v>44</v>
      </c>
      <c r="E1348" t="s">
        <v>54</v>
      </c>
      <c r="F1348" t="s">
        <v>30</v>
      </c>
      <c r="G1348" t="s">
        <v>60</v>
      </c>
      <c r="H1348" t="s">
        <v>32</v>
      </c>
      <c r="I1348" t="s">
        <v>41</v>
      </c>
      <c r="J1348" s="2">
        <v>45423</v>
      </c>
      <c r="K1348" s="2">
        <v>45426</v>
      </c>
      <c r="L1348" s="2">
        <v>45431</v>
      </c>
      <c r="M1348" s="2">
        <v>45435</v>
      </c>
      <c r="N1348" s="2">
        <v>45463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74</v>
      </c>
      <c r="U1348">
        <v>87</v>
      </c>
      <c r="W1348">
        <v>2</v>
      </c>
    </row>
    <row r="1349" spans="1:25">
      <c r="A1349" s="1" t="s">
        <v>1418</v>
      </c>
      <c r="B1349" t="s">
        <v>70</v>
      </c>
      <c r="C1349" t="s">
        <v>78</v>
      </c>
      <c r="D1349" t="s">
        <v>52</v>
      </c>
      <c r="E1349" t="s">
        <v>54</v>
      </c>
      <c r="F1349" t="s">
        <v>38</v>
      </c>
      <c r="G1349" t="s">
        <v>60</v>
      </c>
      <c r="H1349" t="s">
        <v>56</v>
      </c>
      <c r="I1349" t="s">
        <v>33</v>
      </c>
      <c r="J1349" s="2">
        <v>45089</v>
      </c>
      <c r="K1349" s="2">
        <v>45091</v>
      </c>
      <c r="L1349" s="2">
        <v>45094</v>
      </c>
      <c r="M1349" s="2">
        <v>45101</v>
      </c>
      <c r="N1349" s="2">
        <v>45112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74</v>
      </c>
      <c r="U1349">
        <v>64</v>
      </c>
      <c r="W1349">
        <v>10</v>
      </c>
    </row>
    <row r="1350" spans="1:25">
      <c r="A1350" s="1" t="s">
        <v>1419</v>
      </c>
      <c r="B1350" t="s">
        <v>90</v>
      </c>
      <c r="C1350" t="s">
        <v>47</v>
      </c>
      <c r="D1350" t="s">
        <v>28</v>
      </c>
      <c r="E1350" t="s">
        <v>102</v>
      </c>
      <c r="F1350" t="s">
        <v>67</v>
      </c>
      <c r="G1350" t="s">
        <v>39</v>
      </c>
      <c r="H1350" t="s">
        <v>40</v>
      </c>
      <c r="I1350" t="s">
        <v>41</v>
      </c>
      <c r="J1350" s="2">
        <v>45458</v>
      </c>
      <c r="K1350" s="2">
        <v>45459</v>
      </c>
      <c r="L1350" s="2">
        <v>45462</v>
      </c>
      <c r="M1350" s="2">
        <v>45465</v>
      </c>
      <c r="N1350" s="2">
        <v>45490</v>
      </c>
      <c r="O1350">
        <v>1</v>
      </c>
      <c r="P1350">
        <v>1</v>
      </c>
      <c r="Q1350">
        <v>1</v>
      </c>
      <c r="R1350">
        <v>0</v>
      </c>
      <c r="S1350">
        <v>1</v>
      </c>
      <c r="T1350" t="s">
        <v>49</v>
      </c>
      <c r="U1350">
        <v>79</v>
      </c>
      <c r="W1350">
        <v>10</v>
      </c>
      <c r="X1350">
        <v>2009563</v>
      </c>
      <c r="Y1350" t="s">
        <v>68</v>
      </c>
    </row>
    <row r="1351" spans="1:25">
      <c r="A1351" s="1" t="s">
        <v>1420</v>
      </c>
      <c r="B1351" t="s">
        <v>58</v>
      </c>
      <c r="C1351" t="s">
        <v>71</v>
      </c>
      <c r="D1351" t="s">
        <v>52</v>
      </c>
      <c r="E1351" t="s">
        <v>66</v>
      </c>
      <c r="F1351" t="s">
        <v>30</v>
      </c>
      <c r="G1351" t="s">
        <v>60</v>
      </c>
      <c r="H1351" t="s">
        <v>40</v>
      </c>
      <c r="I1351" t="s">
        <v>33</v>
      </c>
      <c r="J1351" s="2">
        <v>45061</v>
      </c>
      <c r="K1351" s="2">
        <v>45066</v>
      </c>
      <c r="L1351" s="2">
        <v>45072</v>
      </c>
      <c r="M1351" s="2">
        <v>45075</v>
      </c>
      <c r="N1351" s="2">
        <v>45078</v>
      </c>
      <c r="O1351">
        <v>0</v>
      </c>
      <c r="P1351">
        <v>0</v>
      </c>
      <c r="Q1351">
        <v>0</v>
      </c>
      <c r="R1351">
        <v>0</v>
      </c>
      <c r="S1351">
        <v>0</v>
      </c>
      <c r="T1351" t="s">
        <v>74</v>
      </c>
      <c r="U1351">
        <v>85</v>
      </c>
      <c r="W1351">
        <v>7</v>
      </c>
    </row>
    <row r="1352" spans="1:25">
      <c r="A1352" s="1" t="s">
        <v>1421</v>
      </c>
      <c r="B1352" t="s">
        <v>43</v>
      </c>
      <c r="C1352" t="s">
        <v>37</v>
      </c>
      <c r="D1352" t="s">
        <v>28</v>
      </c>
      <c r="E1352" t="s">
        <v>54</v>
      </c>
      <c r="F1352" t="s">
        <v>67</v>
      </c>
      <c r="G1352" t="s">
        <v>31</v>
      </c>
      <c r="H1352" t="s">
        <v>56</v>
      </c>
      <c r="I1352" t="s">
        <v>33</v>
      </c>
      <c r="J1352" s="2">
        <v>45079</v>
      </c>
      <c r="K1352" s="2">
        <v>45082</v>
      </c>
      <c r="L1352" s="2">
        <v>45092</v>
      </c>
      <c r="M1352" s="2">
        <v>45099</v>
      </c>
      <c r="N1352" s="2">
        <v>45094</v>
      </c>
      <c r="O1352">
        <v>1</v>
      </c>
      <c r="P1352">
        <v>0</v>
      </c>
      <c r="Q1352">
        <v>0</v>
      </c>
      <c r="R1352">
        <v>0</v>
      </c>
      <c r="S1352">
        <v>0</v>
      </c>
      <c r="T1352" t="s">
        <v>34</v>
      </c>
      <c r="U1352">
        <v>61</v>
      </c>
      <c r="W1352">
        <v>4</v>
      </c>
    </row>
    <row r="1353" spans="1:25">
      <c r="A1353" s="1" t="s">
        <v>1422</v>
      </c>
      <c r="B1353" t="s">
        <v>70</v>
      </c>
      <c r="C1353" t="s">
        <v>27</v>
      </c>
      <c r="D1353" t="s">
        <v>73</v>
      </c>
      <c r="E1353" t="s">
        <v>29</v>
      </c>
      <c r="F1353" t="s">
        <v>76</v>
      </c>
      <c r="G1353" t="s">
        <v>45</v>
      </c>
      <c r="H1353" t="s">
        <v>40</v>
      </c>
      <c r="I1353" t="s">
        <v>41</v>
      </c>
      <c r="J1353" s="2">
        <v>45220</v>
      </c>
      <c r="K1353" s="2">
        <v>45225</v>
      </c>
      <c r="L1353" s="2">
        <v>45230</v>
      </c>
      <c r="M1353" s="2">
        <v>45232</v>
      </c>
      <c r="N1353" s="2">
        <v>45259</v>
      </c>
      <c r="O1353">
        <v>1</v>
      </c>
      <c r="P1353">
        <v>1</v>
      </c>
      <c r="Q1353">
        <v>0</v>
      </c>
      <c r="R1353">
        <v>0</v>
      </c>
      <c r="S1353">
        <v>0</v>
      </c>
      <c r="T1353" t="s">
        <v>34</v>
      </c>
      <c r="U1353">
        <v>84</v>
      </c>
      <c r="W1353">
        <v>1</v>
      </c>
    </row>
    <row r="1354" spans="1:25">
      <c r="A1354" s="1" t="s">
        <v>1423</v>
      </c>
      <c r="B1354" t="s">
        <v>26</v>
      </c>
      <c r="C1354" t="s">
        <v>37</v>
      </c>
      <c r="D1354" t="s">
        <v>59</v>
      </c>
      <c r="E1354" t="s">
        <v>102</v>
      </c>
      <c r="F1354" t="s">
        <v>76</v>
      </c>
      <c r="G1354" t="s">
        <v>55</v>
      </c>
      <c r="H1354" t="s">
        <v>40</v>
      </c>
      <c r="I1354" t="s">
        <v>41</v>
      </c>
      <c r="J1354" s="2">
        <v>45402</v>
      </c>
      <c r="K1354" s="2">
        <v>45404</v>
      </c>
      <c r="L1354" s="2">
        <v>45409</v>
      </c>
      <c r="M1354" s="2">
        <v>45416</v>
      </c>
      <c r="N1354" s="2">
        <v>45426</v>
      </c>
      <c r="O1354">
        <v>0</v>
      </c>
      <c r="P1354">
        <v>0</v>
      </c>
      <c r="Q1354">
        <v>0</v>
      </c>
      <c r="R1354">
        <v>0</v>
      </c>
      <c r="S1354">
        <v>0</v>
      </c>
      <c r="T1354" t="s">
        <v>74</v>
      </c>
      <c r="U1354">
        <v>52</v>
      </c>
      <c r="W1354">
        <v>3</v>
      </c>
    </row>
    <row r="1355" spans="1:25">
      <c r="A1355" s="1" t="s">
        <v>1424</v>
      </c>
      <c r="B1355" t="s">
        <v>43</v>
      </c>
      <c r="C1355" t="s">
        <v>47</v>
      </c>
      <c r="D1355" t="s">
        <v>59</v>
      </c>
      <c r="E1355" t="s">
        <v>66</v>
      </c>
      <c r="F1355" t="s">
        <v>48</v>
      </c>
      <c r="G1355" t="s">
        <v>45</v>
      </c>
      <c r="H1355" t="s">
        <v>56</v>
      </c>
      <c r="I1355" t="s">
        <v>41</v>
      </c>
      <c r="J1355" s="2">
        <v>45320</v>
      </c>
      <c r="K1355" s="2">
        <v>45322</v>
      </c>
      <c r="L1355" s="2">
        <v>45332</v>
      </c>
      <c r="M1355" s="2">
        <v>45335</v>
      </c>
      <c r="N1355" s="2">
        <v>45335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74</v>
      </c>
      <c r="U1355">
        <v>100</v>
      </c>
      <c r="W1355">
        <v>9</v>
      </c>
    </row>
    <row r="1356" spans="1:25">
      <c r="A1356" s="1" t="s">
        <v>1425</v>
      </c>
      <c r="B1356" t="s">
        <v>26</v>
      </c>
      <c r="C1356" t="s">
        <v>37</v>
      </c>
      <c r="D1356" t="s">
        <v>28</v>
      </c>
      <c r="E1356" t="s">
        <v>54</v>
      </c>
      <c r="F1356" t="s">
        <v>30</v>
      </c>
      <c r="G1356" t="s">
        <v>45</v>
      </c>
      <c r="H1356" t="s">
        <v>56</v>
      </c>
      <c r="I1356" t="s">
        <v>41</v>
      </c>
      <c r="J1356" s="2">
        <v>45344</v>
      </c>
      <c r="K1356" s="2">
        <v>45345</v>
      </c>
      <c r="L1356" s="2">
        <v>45349</v>
      </c>
      <c r="M1356" s="2">
        <v>45352</v>
      </c>
      <c r="N1356" s="2">
        <v>45359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74</v>
      </c>
      <c r="U1356">
        <v>68</v>
      </c>
      <c r="W1356">
        <v>3</v>
      </c>
    </row>
    <row r="1357" spans="1:25">
      <c r="A1357" s="1" t="s">
        <v>1426</v>
      </c>
      <c r="B1357" t="s">
        <v>90</v>
      </c>
      <c r="C1357" t="s">
        <v>71</v>
      </c>
      <c r="D1357" t="s">
        <v>59</v>
      </c>
      <c r="E1357" t="s">
        <v>54</v>
      </c>
      <c r="F1357" t="s">
        <v>76</v>
      </c>
      <c r="G1357" t="s">
        <v>45</v>
      </c>
      <c r="H1357" t="s">
        <v>56</v>
      </c>
      <c r="I1357" t="s">
        <v>41</v>
      </c>
      <c r="J1357" s="2">
        <v>45034</v>
      </c>
      <c r="K1357" s="2">
        <v>45035</v>
      </c>
      <c r="L1357" s="2">
        <v>45045</v>
      </c>
      <c r="M1357" s="2">
        <v>45052</v>
      </c>
      <c r="N1357" s="2">
        <v>45053</v>
      </c>
      <c r="O1357">
        <v>1</v>
      </c>
      <c r="P1357">
        <v>1</v>
      </c>
      <c r="Q1357">
        <v>1</v>
      </c>
      <c r="R1357">
        <v>1</v>
      </c>
      <c r="S1357">
        <v>0</v>
      </c>
      <c r="T1357" t="s">
        <v>61</v>
      </c>
      <c r="U1357">
        <v>98</v>
      </c>
      <c r="V1357">
        <v>19</v>
      </c>
      <c r="W1357">
        <v>6</v>
      </c>
      <c r="X1357">
        <v>875841</v>
      </c>
    </row>
    <row r="1358" spans="1:25">
      <c r="A1358" s="1" t="s">
        <v>1427</v>
      </c>
      <c r="B1358" t="s">
        <v>70</v>
      </c>
      <c r="C1358" t="s">
        <v>37</v>
      </c>
      <c r="D1358" t="s">
        <v>73</v>
      </c>
      <c r="E1358" t="s">
        <v>66</v>
      </c>
      <c r="F1358" t="s">
        <v>64</v>
      </c>
      <c r="G1358" t="s">
        <v>55</v>
      </c>
      <c r="H1358" t="s">
        <v>40</v>
      </c>
      <c r="I1358" t="s">
        <v>33</v>
      </c>
      <c r="J1358" s="2">
        <v>45135</v>
      </c>
      <c r="K1358" s="2">
        <v>45136</v>
      </c>
      <c r="L1358" s="2">
        <v>45144</v>
      </c>
      <c r="M1358" s="2">
        <v>45150</v>
      </c>
      <c r="N1358" s="2">
        <v>45174</v>
      </c>
      <c r="O1358">
        <v>1</v>
      </c>
      <c r="P1358">
        <v>0</v>
      </c>
      <c r="Q1358">
        <v>0</v>
      </c>
      <c r="R1358">
        <v>0</v>
      </c>
      <c r="S1358">
        <v>0</v>
      </c>
      <c r="T1358" t="s">
        <v>34</v>
      </c>
      <c r="U1358">
        <v>90</v>
      </c>
      <c r="W1358">
        <v>2</v>
      </c>
    </row>
    <row r="1359" spans="1:25">
      <c r="A1359" s="1" t="s">
        <v>1428</v>
      </c>
      <c r="B1359" t="s">
        <v>43</v>
      </c>
      <c r="C1359" t="s">
        <v>78</v>
      </c>
      <c r="D1359" t="s">
        <v>28</v>
      </c>
      <c r="E1359" t="s">
        <v>54</v>
      </c>
      <c r="F1359" t="s">
        <v>76</v>
      </c>
      <c r="G1359" t="s">
        <v>55</v>
      </c>
      <c r="H1359" t="s">
        <v>40</v>
      </c>
      <c r="I1359" t="s">
        <v>33</v>
      </c>
      <c r="J1359" s="2">
        <v>45097</v>
      </c>
      <c r="K1359" s="2">
        <v>45099</v>
      </c>
      <c r="L1359" s="2">
        <v>45105</v>
      </c>
      <c r="M1359" s="2">
        <v>45107</v>
      </c>
      <c r="N1359" s="2">
        <v>45122</v>
      </c>
      <c r="O1359">
        <v>1</v>
      </c>
      <c r="P1359">
        <v>1</v>
      </c>
      <c r="Q1359">
        <v>1</v>
      </c>
      <c r="R1359">
        <v>1</v>
      </c>
      <c r="S1359">
        <v>0</v>
      </c>
      <c r="T1359" t="s">
        <v>61</v>
      </c>
      <c r="U1359">
        <v>97</v>
      </c>
      <c r="V1359">
        <v>25</v>
      </c>
      <c r="W1359">
        <v>6</v>
      </c>
      <c r="X1359">
        <v>1571679</v>
      </c>
    </row>
    <row r="1360" spans="1:25">
      <c r="A1360" s="1" t="s">
        <v>1429</v>
      </c>
      <c r="B1360" t="s">
        <v>36</v>
      </c>
      <c r="C1360" t="s">
        <v>78</v>
      </c>
      <c r="D1360" t="s">
        <v>44</v>
      </c>
      <c r="E1360" t="s">
        <v>66</v>
      </c>
      <c r="F1360" t="s">
        <v>38</v>
      </c>
      <c r="G1360" t="s">
        <v>45</v>
      </c>
      <c r="H1360" t="s">
        <v>32</v>
      </c>
      <c r="I1360" t="s">
        <v>41</v>
      </c>
      <c r="J1360" s="2">
        <v>44997</v>
      </c>
      <c r="K1360" s="2">
        <v>44998</v>
      </c>
      <c r="L1360" s="2">
        <v>45007</v>
      </c>
      <c r="M1360" s="2">
        <v>45013</v>
      </c>
      <c r="N1360" s="2">
        <v>45023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74</v>
      </c>
      <c r="U1360">
        <v>92</v>
      </c>
      <c r="W1360">
        <v>6</v>
      </c>
    </row>
    <row r="1361" spans="1:25">
      <c r="A1361" s="1" t="s">
        <v>1430</v>
      </c>
      <c r="B1361" t="s">
        <v>90</v>
      </c>
      <c r="C1361" t="s">
        <v>71</v>
      </c>
      <c r="D1361" t="s">
        <v>52</v>
      </c>
      <c r="E1361" t="s">
        <v>66</v>
      </c>
      <c r="F1361" t="s">
        <v>76</v>
      </c>
      <c r="G1361" t="s">
        <v>60</v>
      </c>
      <c r="H1361" t="s">
        <v>56</v>
      </c>
      <c r="I1361" t="s">
        <v>33</v>
      </c>
      <c r="J1361" s="2">
        <v>45406</v>
      </c>
      <c r="K1361" s="2">
        <v>45410</v>
      </c>
      <c r="L1361" s="2">
        <v>45413</v>
      </c>
      <c r="M1361" s="2">
        <v>45416</v>
      </c>
      <c r="N1361" s="2">
        <v>45438</v>
      </c>
      <c r="O1361">
        <v>1</v>
      </c>
      <c r="P1361">
        <v>1</v>
      </c>
      <c r="Q1361">
        <v>1</v>
      </c>
      <c r="R1361">
        <v>0</v>
      </c>
      <c r="S1361">
        <v>0</v>
      </c>
      <c r="T1361" t="s">
        <v>49</v>
      </c>
      <c r="U1361">
        <v>52</v>
      </c>
      <c r="W1361">
        <v>4</v>
      </c>
      <c r="X1361">
        <v>1153922</v>
      </c>
      <c r="Y1361" t="s">
        <v>87</v>
      </c>
    </row>
    <row r="1362" spans="1:25">
      <c r="A1362" s="1" t="s">
        <v>1431</v>
      </c>
      <c r="B1362" t="s">
        <v>70</v>
      </c>
      <c r="C1362" t="s">
        <v>37</v>
      </c>
      <c r="D1362" t="s">
        <v>52</v>
      </c>
      <c r="E1362" t="s">
        <v>29</v>
      </c>
      <c r="F1362" t="s">
        <v>76</v>
      </c>
      <c r="G1362" t="s">
        <v>45</v>
      </c>
      <c r="H1362" t="s">
        <v>56</v>
      </c>
      <c r="I1362" t="s">
        <v>41</v>
      </c>
      <c r="J1362" s="2">
        <v>45276</v>
      </c>
      <c r="K1362" s="2">
        <v>45277</v>
      </c>
      <c r="L1362" s="2">
        <v>45283</v>
      </c>
      <c r="M1362" s="2">
        <v>45289</v>
      </c>
      <c r="N1362" s="2">
        <v>45312</v>
      </c>
      <c r="O1362">
        <v>1</v>
      </c>
      <c r="P1362">
        <v>0</v>
      </c>
      <c r="Q1362">
        <v>0</v>
      </c>
      <c r="R1362">
        <v>0</v>
      </c>
      <c r="S1362">
        <v>0</v>
      </c>
      <c r="T1362" t="s">
        <v>34</v>
      </c>
      <c r="U1362">
        <v>63</v>
      </c>
      <c r="W1362">
        <v>1</v>
      </c>
    </row>
    <row r="1363" spans="1:25">
      <c r="A1363" s="1" t="s">
        <v>1432</v>
      </c>
      <c r="B1363" t="s">
        <v>26</v>
      </c>
      <c r="C1363" t="s">
        <v>71</v>
      </c>
      <c r="D1363" t="s">
        <v>73</v>
      </c>
      <c r="E1363" t="s">
        <v>29</v>
      </c>
      <c r="F1363" t="s">
        <v>64</v>
      </c>
      <c r="G1363" t="s">
        <v>55</v>
      </c>
      <c r="H1363" t="s">
        <v>32</v>
      </c>
      <c r="I1363" t="s">
        <v>41</v>
      </c>
      <c r="J1363" s="2">
        <v>45366</v>
      </c>
      <c r="K1363" s="2">
        <v>45369</v>
      </c>
      <c r="L1363" s="2">
        <v>45377</v>
      </c>
      <c r="M1363" s="2">
        <v>45380</v>
      </c>
      <c r="N1363" s="2">
        <v>45388</v>
      </c>
      <c r="O1363">
        <v>0</v>
      </c>
      <c r="P1363">
        <v>0</v>
      </c>
      <c r="Q1363">
        <v>0</v>
      </c>
      <c r="R1363">
        <v>0</v>
      </c>
      <c r="S1363">
        <v>0</v>
      </c>
      <c r="T1363" t="s">
        <v>74</v>
      </c>
      <c r="U1363">
        <v>83</v>
      </c>
      <c r="W1363">
        <v>5</v>
      </c>
    </row>
    <row r="1364" spans="1:25">
      <c r="A1364" s="1" t="s">
        <v>1433</v>
      </c>
      <c r="B1364" t="s">
        <v>58</v>
      </c>
      <c r="C1364" t="s">
        <v>78</v>
      </c>
      <c r="D1364" t="s">
        <v>52</v>
      </c>
      <c r="E1364" t="s">
        <v>29</v>
      </c>
      <c r="F1364" t="s">
        <v>30</v>
      </c>
      <c r="G1364" t="s">
        <v>60</v>
      </c>
      <c r="H1364" t="s">
        <v>56</v>
      </c>
      <c r="I1364" t="s">
        <v>33</v>
      </c>
      <c r="J1364" s="2">
        <v>45435</v>
      </c>
      <c r="K1364" s="2">
        <v>45438</v>
      </c>
      <c r="L1364" s="2">
        <v>45448</v>
      </c>
      <c r="M1364" s="2">
        <v>45451</v>
      </c>
      <c r="N1364" s="2">
        <v>45456</v>
      </c>
      <c r="O1364">
        <v>1</v>
      </c>
      <c r="P1364">
        <v>1</v>
      </c>
      <c r="Q1364">
        <v>0</v>
      </c>
      <c r="R1364">
        <v>0</v>
      </c>
      <c r="S1364">
        <v>0</v>
      </c>
      <c r="T1364" t="s">
        <v>34</v>
      </c>
      <c r="U1364">
        <v>46</v>
      </c>
      <c r="W1364">
        <v>7</v>
      </c>
    </row>
    <row r="1365" spans="1:25">
      <c r="A1365" s="1" t="s">
        <v>1434</v>
      </c>
      <c r="B1365" t="s">
        <v>26</v>
      </c>
      <c r="C1365" t="s">
        <v>71</v>
      </c>
      <c r="D1365" t="s">
        <v>44</v>
      </c>
      <c r="E1365" t="s">
        <v>63</v>
      </c>
      <c r="F1365" t="s">
        <v>64</v>
      </c>
      <c r="G1365" t="s">
        <v>45</v>
      </c>
      <c r="H1365" t="s">
        <v>40</v>
      </c>
      <c r="I1365" t="s">
        <v>41</v>
      </c>
      <c r="J1365" s="2">
        <v>45010</v>
      </c>
      <c r="K1365" s="2">
        <v>45011</v>
      </c>
      <c r="L1365" s="2">
        <v>45020</v>
      </c>
      <c r="M1365" s="2">
        <v>45025</v>
      </c>
      <c r="N1365" s="2">
        <v>45024</v>
      </c>
      <c r="O1365">
        <v>1</v>
      </c>
      <c r="P1365">
        <v>1</v>
      </c>
      <c r="Q1365">
        <v>1</v>
      </c>
      <c r="R1365">
        <v>0</v>
      </c>
      <c r="S1365">
        <v>0</v>
      </c>
      <c r="T1365" t="s">
        <v>49</v>
      </c>
      <c r="U1365">
        <v>76</v>
      </c>
      <c r="W1365">
        <v>6</v>
      </c>
      <c r="X1365">
        <v>1124580</v>
      </c>
      <c r="Y1365" t="s">
        <v>50</v>
      </c>
    </row>
    <row r="1366" spans="1:25">
      <c r="A1366" s="1" t="s">
        <v>1435</v>
      </c>
      <c r="B1366" t="s">
        <v>36</v>
      </c>
      <c r="C1366" t="s">
        <v>47</v>
      </c>
      <c r="D1366" t="s">
        <v>52</v>
      </c>
      <c r="E1366" t="s">
        <v>102</v>
      </c>
      <c r="F1366" t="s">
        <v>64</v>
      </c>
      <c r="G1366" t="s">
        <v>55</v>
      </c>
      <c r="H1366" t="s">
        <v>56</v>
      </c>
      <c r="I1366" t="s">
        <v>33</v>
      </c>
      <c r="J1366" s="2">
        <v>45402</v>
      </c>
      <c r="K1366" s="2">
        <v>45403</v>
      </c>
      <c r="L1366" s="2">
        <v>45409</v>
      </c>
      <c r="M1366" s="2">
        <v>45413</v>
      </c>
      <c r="N1366" s="2">
        <v>45419</v>
      </c>
      <c r="O1366">
        <v>1</v>
      </c>
      <c r="P1366">
        <v>1</v>
      </c>
      <c r="Q1366">
        <v>1</v>
      </c>
      <c r="R1366">
        <v>0</v>
      </c>
      <c r="S1366">
        <v>0</v>
      </c>
      <c r="T1366" t="s">
        <v>49</v>
      </c>
      <c r="U1366">
        <v>65</v>
      </c>
      <c r="W1366">
        <v>15</v>
      </c>
      <c r="X1366">
        <v>2832613</v>
      </c>
      <c r="Y1366" t="s">
        <v>80</v>
      </c>
    </row>
    <row r="1367" spans="1:25">
      <c r="A1367" s="1" t="s">
        <v>1436</v>
      </c>
      <c r="B1367" t="s">
        <v>90</v>
      </c>
      <c r="C1367" t="s">
        <v>27</v>
      </c>
      <c r="D1367" t="s">
        <v>73</v>
      </c>
      <c r="E1367" t="s">
        <v>102</v>
      </c>
      <c r="F1367" t="s">
        <v>38</v>
      </c>
      <c r="G1367" t="s">
        <v>31</v>
      </c>
      <c r="H1367" t="s">
        <v>40</v>
      </c>
      <c r="I1367" t="s">
        <v>41</v>
      </c>
      <c r="J1367" s="2">
        <v>45228</v>
      </c>
      <c r="K1367" s="2">
        <v>45230</v>
      </c>
      <c r="L1367" s="2">
        <v>45239</v>
      </c>
      <c r="M1367" s="2">
        <v>45246</v>
      </c>
      <c r="N1367" s="2">
        <v>45255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74</v>
      </c>
      <c r="U1367">
        <v>69</v>
      </c>
      <c r="W1367">
        <v>0</v>
      </c>
    </row>
    <row r="1368" spans="1:25">
      <c r="A1368" s="1" t="s">
        <v>1437</v>
      </c>
      <c r="B1368" t="s">
        <v>36</v>
      </c>
      <c r="C1368" t="s">
        <v>37</v>
      </c>
      <c r="D1368" t="s">
        <v>44</v>
      </c>
      <c r="E1368" t="s">
        <v>63</v>
      </c>
      <c r="F1368" t="s">
        <v>38</v>
      </c>
      <c r="G1368" t="s">
        <v>60</v>
      </c>
      <c r="H1368" t="s">
        <v>56</v>
      </c>
      <c r="I1368" t="s">
        <v>33</v>
      </c>
      <c r="J1368" s="2">
        <v>45215</v>
      </c>
      <c r="K1368" s="2">
        <v>45217</v>
      </c>
      <c r="L1368" s="2">
        <v>45221</v>
      </c>
      <c r="M1368" s="2">
        <v>45228</v>
      </c>
      <c r="N1368" s="2">
        <v>45232</v>
      </c>
      <c r="O1368">
        <v>1</v>
      </c>
      <c r="P1368">
        <v>1</v>
      </c>
      <c r="Q1368">
        <v>0</v>
      </c>
      <c r="R1368">
        <v>0</v>
      </c>
      <c r="S1368">
        <v>0</v>
      </c>
      <c r="T1368" t="s">
        <v>34</v>
      </c>
      <c r="U1368">
        <v>52</v>
      </c>
      <c r="W1368">
        <v>2</v>
      </c>
    </row>
    <row r="1369" spans="1:25">
      <c r="A1369" s="1" t="s">
        <v>1438</v>
      </c>
      <c r="B1369" t="s">
        <v>70</v>
      </c>
      <c r="C1369" t="s">
        <v>37</v>
      </c>
      <c r="D1369" t="s">
        <v>52</v>
      </c>
      <c r="E1369" t="s">
        <v>63</v>
      </c>
      <c r="F1369" t="s">
        <v>76</v>
      </c>
      <c r="G1369" t="s">
        <v>55</v>
      </c>
      <c r="H1369" t="s">
        <v>32</v>
      </c>
      <c r="I1369" t="s">
        <v>33</v>
      </c>
      <c r="J1369" s="2">
        <v>45468</v>
      </c>
      <c r="K1369" s="2">
        <v>45470</v>
      </c>
      <c r="L1369" s="2">
        <v>45475</v>
      </c>
      <c r="M1369" s="2">
        <v>45482</v>
      </c>
      <c r="N1369" s="2">
        <v>45505</v>
      </c>
      <c r="O1369">
        <v>1</v>
      </c>
      <c r="P1369">
        <v>1</v>
      </c>
      <c r="Q1369">
        <v>1</v>
      </c>
      <c r="R1369">
        <v>1</v>
      </c>
      <c r="S1369">
        <v>0</v>
      </c>
      <c r="T1369" t="s">
        <v>61</v>
      </c>
      <c r="U1369">
        <v>57</v>
      </c>
      <c r="V1369">
        <v>37</v>
      </c>
      <c r="W1369">
        <v>1</v>
      </c>
      <c r="X1369">
        <v>823170</v>
      </c>
    </row>
    <row r="1370" spans="1:25">
      <c r="A1370" s="1" t="s">
        <v>1439</v>
      </c>
      <c r="B1370" t="s">
        <v>36</v>
      </c>
      <c r="C1370" t="s">
        <v>47</v>
      </c>
      <c r="D1370" t="s">
        <v>73</v>
      </c>
      <c r="E1370" t="s">
        <v>29</v>
      </c>
      <c r="F1370" t="s">
        <v>30</v>
      </c>
      <c r="G1370" t="s">
        <v>55</v>
      </c>
      <c r="H1370" t="s">
        <v>32</v>
      </c>
      <c r="I1370" t="s">
        <v>33</v>
      </c>
      <c r="J1370" s="2">
        <v>45010</v>
      </c>
      <c r="K1370" s="2">
        <v>45012</v>
      </c>
      <c r="L1370" s="2">
        <v>45020</v>
      </c>
      <c r="M1370" s="2">
        <v>45026</v>
      </c>
      <c r="N1370" s="2">
        <v>45037</v>
      </c>
      <c r="O1370">
        <v>1</v>
      </c>
      <c r="P1370">
        <v>1</v>
      </c>
      <c r="Q1370">
        <v>0</v>
      </c>
      <c r="R1370">
        <v>0</v>
      </c>
      <c r="S1370">
        <v>0</v>
      </c>
      <c r="T1370" t="s">
        <v>34</v>
      </c>
      <c r="U1370">
        <v>95</v>
      </c>
      <c r="W1370">
        <v>15</v>
      </c>
    </row>
    <row r="1371" spans="1:25">
      <c r="A1371" s="1" t="s">
        <v>1440</v>
      </c>
      <c r="B1371" t="s">
        <v>36</v>
      </c>
      <c r="C1371" t="s">
        <v>27</v>
      </c>
      <c r="D1371" t="s">
        <v>28</v>
      </c>
      <c r="E1371" t="s">
        <v>29</v>
      </c>
      <c r="F1371" t="s">
        <v>38</v>
      </c>
      <c r="G1371" t="s">
        <v>45</v>
      </c>
      <c r="H1371" t="s">
        <v>32</v>
      </c>
      <c r="I1371" t="s">
        <v>33</v>
      </c>
      <c r="J1371" s="2">
        <v>45400</v>
      </c>
      <c r="K1371" s="2">
        <v>45401</v>
      </c>
      <c r="L1371" s="2">
        <v>45409</v>
      </c>
      <c r="M1371" s="2">
        <v>45416</v>
      </c>
      <c r="N1371" s="2">
        <v>45424</v>
      </c>
      <c r="O1371">
        <v>1</v>
      </c>
      <c r="P1371">
        <v>1</v>
      </c>
      <c r="Q1371">
        <v>1</v>
      </c>
      <c r="R1371">
        <v>1</v>
      </c>
      <c r="S1371">
        <v>0</v>
      </c>
      <c r="T1371" t="s">
        <v>61</v>
      </c>
      <c r="U1371">
        <v>97</v>
      </c>
      <c r="V1371">
        <v>24</v>
      </c>
      <c r="W1371">
        <v>0</v>
      </c>
      <c r="X1371">
        <v>423801</v>
      </c>
    </row>
    <row r="1372" spans="1:25">
      <c r="A1372" s="1" t="s">
        <v>1441</v>
      </c>
      <c r="B1372" t="s">
        <v>90</v>
      </c>
      <c r="C1372" t="s">
        <v>37</v>
      </c>
      <c r="D1372" t="s">
        <v>44</v>
      </c>
      <c r="E1372" t="s">
        <v>54</v>
      </c>
      <c r="F1372" t="s">
        <v>30</v>
      </c>
      <c r="G1372" t="s">
        <v>31</v>
      </c>
      <c r="H1372" t="s">
        <v>56</v>
      </c>
      <c r="I1372" t="s">
        <v>41</v>
      </c>
      <c r="J1372" s="2">
        <v>45291</v>
      </c>
      <c r="K1372" s="2">
        <v>45293</v>
      </c>
      <c r="L1372" s="2">
        <v>45296</v>
      </c>
      <c r="M1372" s="2">
        <v>45302</v>
      </c>
      <c r="N1372" s="2">
        <v>45322</v>
      </c>
      <c r="O1372">
        <v>1</v>
      </c>
      <c r="P1372">
        <v>1</v>
      </c>
      <c r="Q1372">
        <v>1</v>
      </c>
      <c r="R1372">
        <v>0</v>
      </c>
      <c r="S1372">
        <v>1</v>
      </c>
      <c r="T1372" t="s">
        <v>49</v>
      </c>
      <c r="U1372">
        <v>60</v>
      </c>
      <c r="W1372">
        <v>1</v>
      </c>
      <c r="X1372">
        <v>839292</v>
      </c>
      <c r="Y1372" t="s">
        <v>50</v>
      </c>
    </row>
    <row r="1373" spans="1:25">
      <c r="A1373" s="1" t="s">
        <v>1442</v>
      </c>
      <c r="B1373" t="s">
        <v>36</v>
      </c>
      <c r="C1373" t="s">
        <v>27</v>
      </c>
      <c r="D1373" t="s">
        <v>52</v>
      </c>
      <c r="E1373" t="s">
        <v>63</v>
      </c>
      <c r="F1373" t="s">
        <v>64</v>
      </c>
      <c r="G1373" t="s">
        <v>31</v>
      </c>
      <c r="H1373" t="s">
        <v>32</v>
      </c>
      <c r="I1373" t="s">
        <v>41</v>
      </c>
      <c r="J1373" s="2">
        <v>45283</v>
      </c>
      <c r="K1373" s="2">
        <v>45287</v>
      </c>
      <c r="L1373" s="2">
        <v>45292</v>
      </c>
      <c r="M1373" s="2">
        <v>45299</v>
      </c>
      <c r="N1373" s="2">
        <v>45309</v>
      </c>
      <c r="O1373">
        <v>1</v>
      </c>
      <c r="P1373">
        <v>1</v>
      </c>
      <c r="Q1373">
        <v>1</v>
      </c>
      <c r="R1373">
        <v>0</v>
      </c>
      <c r="S1373">
        <v>0</v>
      </c>
      <c r="T1373" t="s">
        <v>49</v>
      </c>
      <c r="U1373">
        <v>69</v>
      </c>
      <c r="W1373">
        <v>1</v>
      </c>
      <c r="X1373">
        <v>603380</v>
      </c>
      <c r="Y1373" t="s">
        <v>127</v>
      </c>
    </row>
    <row r="1374" spans="1:25">
      <c r="A1374" s="1" t="s">
        <v>1443</v>
      </c>
      <c r="B1374" t="s">
        <v>70</v>
      </c>
      <c r="C1374" t="s">
        <v>71</v>
      </c>
      <c r="D1374" t="s">
        <v>44</v>
      </c>
      <c r="E1374" t="s">
        <v>54</v>
      </c>
      <c r="F1374" t="s">
        <v>38</v>
      </c>
      <c r="G1374" t="s">
        <v>55</v>
      </c>
      <c r="H1374" t="s">
        <v>32</v>
      </c>
      <c r="I1374" t="s">
        <v>33</v>
      </c>
      <c r="J1374" s="2">
        <v>45464</v>
      </c>
      <c r="K1374" s="2">
        <v>45465</v>
      </c>
      <c r="L1374" s="2">
        <v>45471</v>
      </c>
      <c r="M1374" s="2">
        <v>45475</v>
      </c>
      <c r="N1374" s="2">
        <v>45487</v>
      </c>
      <c r="O1374">
        <v>0</v>
      </c>
      <c r="P1374">
        <v>0</v>
      </c>
      <c r="Q1374">
        <v>0</v>
      </c>
      <c r="R1374">
        <v>0</v>
      </c>
      <c r="S1374">
        <v>0</v>
      </c>
      <c r="T1374" t="s">
        <v>74</v>
      </c>
      <c r="U1374">
        <v>77</v>
      </c>
      <c r="W1374">
        <v>7</v>
      </c>
    </row>
    <row r="1375" spans="1:25">
      <c r="A1375" s="1" t="s">
        <v>1444</v>
      </c>
      <c r="B1375" t="s">
        <v>26</v>
      </c>
      <c r="C1375" t="s">
        <v>78</v>
      </c>
      <c r="D1375" t="s">
        <v>59</v>
      </c>
      <c r="E1375" t="s">
        <v>66</v>
      </c>
      <c r="F1375" t="s">
        <v>48</v>
      </c>
      <c r="G1375" t="s">
        <v>39</v>
      </c>
      <c r="H1375" t="s">
        <v>32</v>
      </c>
      <c r="I1375" t="s">
        <v>41</v>
      </c>
      <c r="J1375" s="2">
        <v>44980</v>
      </c>
      <c r="K1375" s="2">
        <v>44981</v>
      </c>
      <c r="L1375" s="2">
        <v>44985</v>
      </c>
      <c r="M1375" s="2">
        <v>44991</v>
      </c>
      <c r="N1375" s="2">
        <v>45000</v>
      </c>
      <c r="O1375">
        <v>1</v>
      </c>
      <c r="P1375">
        <v>1</v>
      </c>
      <c r="Q1375">
        <v>1</v>
      </c>
      <c r="R1375">
        <v>0</v>
      </c>
      <c r="S1375">
        <v>0</v>
      </c>
      <c r="T1375" t="s">
        <v>49</v>
      </c>
      <c r="U1375">
        <v>70</v>
      </c>
      <c r="W1375">
        <v>10</v>
      </c>
      <c r="X1375">
        <v>1475142</v>
      </c>
      <c r="Y1375" t="s">
        <v>50</v>
      </c>
    </row>
    <row r="1376" spans="1:25">
      <c r="A1376" s="1" t="s">
        <v>1445</v>
      </c>
      <c r="B1376" t="s">
        <v>90</v>
      </c>
      <c r="C1376" t="s">
        <v>27</v>
      </c>
      <c r="D1376" t="s">
        <v>73</v>
      </c>
      <c r="E1376" t="s">
        <v>54</v>
      </c>
      <c r="F1376" t="s">
        <v>76</v>
      </c>
      <c r="G1376" t="s">
        <v>60</v>
      </c>
      <c r="H1376" t="s">
        <v>40</v>
      </c>
      <c r="I1376" t="s">
        <v>33</v>
      </c>
      <c r="J1376" s="2">
        <v>45115</v>
      </c>
      <c r="K1376" s="2">
        <v>45116</v>
      </c>
      <c r="L1376" s="2">
        <v>45123</v>
      </c>
      <c r="M1376" s="2">
        <v>45130</v>
      </c>
      <c r="N1376" s="2">
        <v>45137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74</v>
      </c>
      <c r="U1376">
        <v>61</v>
      </c>
      <c r="W1376">
        <v>1</v>
      </c>
    </row>
    <row r="1377" spans="1:25">
      <c r="A1377" s="1" t="s">
        <v>1446</v>
      </c>
      <c r="B1377" t="s">
        <v>26</v>
      </c>
      <c r="C1377" t="s">
        <v>37</v>
      </c>
      <c r="D1377" t="s">
        <v>73</v>
      </c>
      <c r="E1377" t="s">
        <v>29</v>
      </c>
      <c r="F1377" t="s">
        <v>64</v>
      </c>
      <c r="G1377" t="s">
        <v>39</v>
      </c>
      <c r="H1377" t="s">
        <v>40</v>
      </c>
      <c r="I1377" t="s">
        <v>33</v>
      </c>
      <c r="J1377" s="2">
        <v>45108</v>
      </c>
      <c r="K1377" s="2">
        <v>45110</v>
      </c>
      <c r="L1377" s="2">
        <v>45116</v>
      </c>
      <c r="M1377" s="2">
        <v>45120</v>
      </c>
      <c r="N1377" s="2">
        <v>45127</v>
      </c>
      <c r="O1377">
        <v>1</v>
      </c>
      <c r="P1377">
        <v>1</v>
      </c>
      <c r="Q1377">
        <v>1</v>
      </c>
      <c r="R1377">
        <v>1</v>
      </c>
      <c r="S1377">
        <v>0</v>
      </c>
      <c r="T1377" t="s">
        <v>61</v>
      </c>
      <c r="U1377">
        <v>46</v>
      </c>
      <c r="V1377">
        <v>19</v>
      </c>
      <c r="W1377">
        <v>1</v>
      </c>
      <c r="X1377">
        <v>800440</v>
      </c>
    </row>
    <row r="1378" spans="1:25">
      <c r="A1378" s="1" t="s">
        <v>1447</v>
      </c>
      <c r="B1378" t="s">
        <v>70</v>
      </c>
      <c r="C1378" t="s">
        <v>37</v>
      </c>
      <c r="D1378" t="s">
        <v>44</v>
      </c>
      <c r="E1378" t="s">
        <v>29</v>
      </c>
      <c r="F1378" t="s">
        <v>67</v>
      </c>
      <c r="G1378" t="s">
        <v>31</v>
      </c>
      <c r="H1378" t="s">
        <v>40</v>
      </c>
      <c r="I1378" t="s">
        <v>33</v>
      </c>
      <c r="J1378" s="2">
        <v>45238</v>
      </c>
      <c r="K1378" s="2">
        <v>45240</v>
      </c>
      <c r="L1378" s="2">
        <v>45246</v>
      </c>
      <c r="M1378" s="2">
        <v>45252</v>
      </c>
      <c r="N1378" s="2">
        <v>45274</v>
      </c>
      <c r="O1378">
        <v>1</v>
      </c>
      <c r="P1378">
        <v>0</v>
      </c>
      <c r="Q1378">
        <v>0</v>
      </c>
      <c r="R1378">
        <v>0</v>
      </c>
      <c r="S1378">
        <v>0</v>
      </c>
      <c r="T1378" t="s">
        <v>34</v>
      </c>
      <c r="U1378">
        <v>61</v>
      </c>
      <c r="W1378">
        <v>4</v>
      </c>
    </row>
    <row r="1379" spans="1:25">
      <c r="A1379" s="1" t="s">
        <v>1448</v>
      </c>
      <c r="B1379" t="s">
        <v>43</v>
      </c>
      <c r="C1379" t="s">
        <v>71</v>
      </c>
      <c r="D1379" t="s">
        <v>73</v>
      </c>
      <c r="E1379" t="s">
        <v>102</v>
      </c>
      <c r="F1379" t="s">
        <v>64</v>
      </c>
      <c r="G1379" t="s">
        <v>39</v>
      </c>
      <c r="H1379" t="s">
        <v>40</v>
      </c>
      <c r="I1379" t="s">
        <v>41</v>
      </c>
      <c r="J1379" s="2">
        <v>45276</v>
      </c>
      <c r="K1379" s="2">
        <v>45279</v>
      </c>
      <c r="L1379" s="2">
        <v>45284</v>
      </c>
      <c r="M1379" s="2">
        <v>45288</v>
      </c>
      <c r="N1379" s="2">
        <v>45300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74</v>
      </c>
      <c r="U1379">
        <v>58</v>
      </c>
      <c r="W1379">
        <v>6</v>
      </c>
    </row>
    <row r="1380" spans="1:25">
      <c r="A1380" s="1" t="s">
        <v>1449</v>
      </c>
      <c r="B1380" t="s">
        <v>70</v>
      </c>
      <c r="C1380" t="s">
        <v>71</v>
      </c>
      <c r="D1380" t="s">
        <v>59</v>
      </c>
      <c r="E1380" t="s">
        <v>63</v>
      </c>
      <c r="F1380" t="s">
        <v>38</v>
      </c>
      <c r="G1380" t="s">
        <v>39</v>
      </c>
      <c r="H1380" t="s">
        <v>40</v>
      </c>
      <c r="I1380" t="s">
        <v>33</v>
      </c>
      <c r="J1380" s="2">
        <v>45149</v>
      </c>
      <c r="K1380" s="2">
        <v>45154</v>
      </c>
      <c r="L1380" s="2">
        <v>45160</v>
      </c>
      <c r="M1380" s="2">
        <v>45162</v>
      </c>
      <c r="N1380" s="2">
        <v>45176</v>
      </c>
      <c r="O1380">
        <v>1</v>
      </c>
      <c r="P1380">
        <v>0</v>
      </c>
      <c r="Q1380">
        <v>0</v>
      </c>
      <c r="R1380">
        <v>0</v>
      </c>
      <c r="S1380">
        <v>0</v>
      </c>
      <c r="T1380" t="s">
        <v>34</v>
      </c>
      <c r="U1380">
        <v>45</v>
      </c>
      <c r="W1380">
        <v>5</v>
      </c>
    </row>
    <row r="1381" spans="1:25">
      <c r="A1381" s="1" t="s">
        <v>1450</v>
      </c>
      <c r="B1381" t="s">
        <v>70</v>
      </c>
      <c r="C1381" t="s">
        <v>37</v>
      </c>
      <c r="D1381" t="s">
        <v>44</v>
      </c>
      <c r="E1381" t="s">
        <v>63</v>
      </c>
      <c r="F1381" t="s">
        <v>30</v>
      </c>
      <c r="G1381" t="s">
        <v>55</v>
      </c>
      <c r="H1381" t="s">
        <v>40</v>
      </c>
      <c r="I1381" t="s">
        <v>33</v>
      </c>
      <c r="J1381" s="2">
        <v>45067</v>
      </c>
      <c r="K1381" s="2">
        <v>45070</v>
      </c>
      <c r="L1381" s="2">
        <v>45080</v>
      </c>
      <c r="M1381" s="2">
        <v>45085</v>
      </c>
      <c r="N1381" s="2">
        <v>45106</v>
      </c>
      <c r="O1381">
        <v>0</v>
      </c>
      <c r="P1381">
        <v>0</v>
      </c>
      <c r="Q1381">
        <v>0</v>
      </c>
      <c r="R1381">
        <v>0</v>
      </c>
      <c r="S1381">
        <v>0</v>
      </c>
      <c r="T1381" t="s">
        <v>74</v>
      </c>
      <c r="U1381">
        <v>47</v>
      </c>
      <c r="W1381">
        <v>1</v>
      </c>
    </row>
    <row r="1382" spans="1:25">
      <c r="A1382" s="1" t="s">
        <v>1451</v>
      </c>
      <c r="B1382" t="s">
        <v>43</v>
      </c>
      <c r="C1382" t="s">
        <v>71</v>
      </c>
      <c r="D1382" t="s">
        <v>28</v>
      </c>
      <c r="E1382" t="s">
        <v>66</v>
      </c>
      <c r="F1382" t="s">
        <v>67</v>
      </c>
      <c r="G1382" t="s">
        <v>45</v>
      </c>
      <c r="H1382" t="s">
        <v>56</v>
      </c>
      <c r="I1382" t="s">
        <v>33</v>
      </c>
      <c r="J1382" s="2">
        <v>44980</v>
      </c>
      <c r="K1382" s="2">
        <v>44982</v>
      </c>
      <c r="L1382" s="2">
        <v>44987</v>
      </c>
      <c r="M1382" s="2">
        <v>44989</v>
      </c>
      <c r="N1382" s="2">
        <v>44999</v>
      </c>
      <c r="O1382">
        <v>1</v>
      </c>
      <c r="P1382">
        <v>0</v>
      </c>
      <c r="Q1382">
        <v>0</v>
      </c>
      <c r="R1382">
        <v>0</v>
      </c>
      <c r="S1382">
        <v>0</v>
      </c>
      <c r="T1382" t="s">
        <v>34</v>
      </c>
      <c r="U1382">
        <v>50</v>
      </c>
      <c r="W1382">
        <v>7</v>
      </c>
    </row>
    <row r="1383" spans="1:25">
      <c r="A1383" s="1" t="s">
        <v>1452</v>
      </c>
      <c r="B1383" t="s">
        <v>43</v>
      </c>
      <c r="C1383" t="s">
        <v>78</v>
      </c>
      <c r="D1383" t="s">
        <v>52</v>
      </c>
      <c r="E1383" t="s">
        <v>66</v>
      </c>
      <c r="F1383" t="s">
        <v>48</v>
      </c>
      <c r="G1383" t="s">
        <v>31</v>
      </c>
      <c r="H1383" t="s">
        <v>32</v>
      </c>
      <c r="I1383" t="s">
        <v>41</v>
      </c>
      <c r="J1383" s="2">
        <v>45032</v>
      </c>
      <c r="K1383" s="2">
        <v>45033</v>
      </c>
      <c r="L1383" s="2">
        <v>45041</v>
      </c>
      <c r="M1383" s="2">
        <v>45043</v>
      </c>
      <c r="N1383" s="2">
        <v>45049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74</v>
      </c>
      <c r="U1383">
        <v>89</v>
      </c>
      <c r="W1383">
        <v>7</v>
      </c>
    </row>
    <row r="1384" spans="1:25">
      <c r="A1384" s="1" t="s">
        <v>1453</v>
      </c>
      <c r="B1384" t="s">
        <v>70</v>
      </c>
      <c r="C1384" t="s">
        <v>71</v>
      </c>
      <c r="D1384" t="s">
        <v>73</v>
      </c>
      <c r="E1384" t="s">
        <v>63</v>
      </c>
      <c r="F1384" t="s">
        <v>64</v>
      </c>
      <c r="G1384" t="s">
        <v>55</v>
      </c>
      <c r="H1384" t="s">
        <v>40</v>
      </c>
      <c r="I1384" t="s">
        <v>41</v>
      </c>
      <c r="J1384" s="2">
        <v>45411</v>
      </c>
      <c r="K1384" s="2">
        <v>45416</v>
      </c>
      <c r="L1384" s="2">
        <v>45419</v>
      </c>
      <c r="M1384" s="2">
        <v>45426</v>
      </c>
      <c r="N1384" s="2">
        <v>45438</v>
      </c>
      <c r="O1384">
        <v>1</v>
      </c>
      <c r="P1384">
        <v>0</v>
      </c>
      <c r="Q1384">
        <v>0</v>
      </c>
      <c r="R1384">
        <v>0</v>
      </c>
      <c r="S1384">
        <v>0</v>
      </c>
      <c r="T1384" t="s">
        <v>34</v>
      </c>
      <c r="U1384">
        <v>72</v>
      </c>
      <c r="W1384">
        <v>4</v>
      </c>
    </row>
    <row r="1385" spans="1:25">
      <c r="A1385" s="1" t="s">
        <v>1454</v>
      </c>
      <c r="B1385" t="s">
        <v>26</v>
      </c>
      <c r="C1385" t="s">
        <v>27</v>
      </c>
      <c r="D1385" t="s">
        <v>52</v>
      </c>
      <c r="E1385" t="s">
        <v>54</v>
      </c>
      <c r="F1385" t="s">
        <v>67</v>
      </c>
      <c r="G1385" t="s">
        <v>45</v>
      </c>
      <c r="H1385" t="s">
        <v>32</v>
      </c>
      <c r="I1385" t="s">
        <v>33</v>
      </c>
      <c r="J1385" s="2">
        <v>45289</v>
      </c>
      <c r="K1385" s="2">
        <v>45291</v>
      </c>
      <c r="L1385" s="2">
        <v>45297</v>
      </c>
      <c r="M1385" s="2">
        <v>45300</v>
      </c>
      <c r="N1385" s="2">
        <v>45307</v>
      </c>
      <c r="O1385">
        <v>1</v>
      </c>
      <c r="P1385">
        <v>0</v>
      </c>
      <c r="Q1385">
        <v>0</v>
      </c>
      <c r="R1385">
        <v>0</v>
      </c>
      <c r="S1385">
        <v>1</v>
      </c>
      <c r="T1385" t="s">
        <v>34</v>
      </c>
      <c r="U1385">
        <v>67</v>
      </c>
      <c r="W1385">
        <v>1</v>
      </c>
    </row>
    <row r="1386" spans="1:25">
      <c r="A1386" s="1" t="s">
        <v>1455</v>
      </c>
      <c r="B1386" t="s">
        <v>90</v>
      </c>
      <c r="C1386" t="s">
        <v>27</v>
      </c>
      <c r="D1386" t="s">
        <v>28</v>
      </c>
      <c r="E1386" t="s">
        <v>29</v>
      </c>
      <c r="F1386" t="s">
        <v>76</v>
      </c>
      <c r="G1386" t="s">
        <v>55</v>
      </c>
      <c r="H1386" t="s">
        <v>56</v>
      </c>
      <c r="I1386" t="s">
        <v>33</v>
      </c>
      <c r="J1386" s="2">
        <v>45406</v>
      </c>
      <c r="K1386" s="2">
        <v>45411</v>
      </c>
      <c r="L1386" s="2">
        <v>45419</v>
      </c>
      <c r="M1386" s="2">
        <v>45424</v>
      </c>
      <c r="N1386" s="2">
        <v>45431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74</v>
      </c>
      <c r="U1386">
        <v>89</v>
      </c>
      <c r="W1386">
        <v>0</v>
      </c>
    </row>
    <row r="1387" spans="1:25">
      <c r="A1387" s="1" t="s">
        <v>1456</v>
      </c>
      <c r="B1387" t="s">
        <v>26</v>
      </c>
      <c r="C1387" t="s">
        <v>27</v>
      </c>
      <c r="D1387" t="s">
        <v>44</v>
      </c>
      <c r="E1387" t="s">
        <v>66</v>
      </c>
      <c r="F1387" t="s">
        <v>30</v>
      </c>
      <c r="G1387" t="s">
        <v>39</v>
      </c>
      <c r="H1387" t="s">
        <v>32</v>
      </c>
      <c r="I1387" t="s">
        <v>41</v>
      </c>
      <c r="J1387" s="2">
        <v>45058</v>
      </c>
      <c r="K1387" s="2">
        <v>45061</v>
      </c>
      <c r="L1387" s="2">
        <v>45067</v>
      </c>
      <c r="M1387" s="2">
        <v>45071</v>
      </c>
      <c r="N1387" s="2">
        <v>45081</v>
      </c>
      <c r="O1387">
        <v>0</v>
      </c>
      <c r="P1387">
        <v>0</v>
      </c>
      <c r="Q1387">
        <v>0</v>
      </c>
      <c r="R1387">
        <v>0</v>
      </c>
      <c r="S1387">
        <v>0</v>
      </c>
      <c r="T1387" t="s">
        <v>74</v>
      </c>
      <c r="U1387">
        <v>70</v>
      </c>
      <c r="W1387">
        <v>0</v>
      </c>
    </row>
    <row r="1388" spans="1:25">
      <c r="A1388" s="1" t="s">
        <v>1457</v>
      </c>
      <c r="B1388" t="s">
        <v>26</v>
      </c>
      <c r="C1388" t="s">
        <v>37</v>
      </c>
      <c r="D1388" t="s">
        <v>44</v>
      </c>
      <c r="E1388" t="s">
        <v>66</v>
      </c>
      <c r="F1388" t="s">
        <v>76</v>
      </c>
      <c r="G1388" t="s">
        <v>39</v>
      </c>
      <c r="H1388" t="s">
        <v>40</v>
      </c>
      <c r="I1388" t="s">
        <v>41</v>
      </c>
      <c r="J1388" s="2">
        <v>45033</v>
      </c>
      <c r="K1388" s="2">
        <v>45036</v>
      </c>
      <c r="L1388" s="2">
        <v>45039</v>
      </c>
      <c r="M1388" s="2">
        <v>45044</v>
      </c>
      <c r="N1388" s="2">
        <v>45057</v>
      </c>
      <c r="O1388">
        <v>1</v>
      </c>
      <c r="P1388">
        <v>1</v>
      </c>
      <c r="Q1388">
        <v>1</v>
      </c>
      <c r="R1388">
        <v>1</v>
      </c>
      <c r="S1388">
        <v>0</v>
      </c>
      <c r="T1388" t="s">
        <v>61</v>
      </c>
      <c r="U1388">
        <v>45</v>
      </c>
      <c r="V1388">
        <v>24</v>
      </c>
      <c r="W1388">
        <v>2</v>
      </c>
      <c r="X1388">
        <v>632590</v>
      </c>
    </row>
    <row r="1389" spans="1:25">
      <c r="A1389" s="1" t="s">
        <v>1458</v>
      </c>
      <c r="B1389" t="s">
        <v>70</v>
      </c>
      <c r="C1389" t="s">
        <v>27</v>
      </c>
      <c r="D1389" t="s">
        <v>28</v>
      </c>
      <c r="E1389" t="s">
        <v>29</v>
      </c>
      <c r="F1389" t="s">
        <v>30</v>
      </c>
      <c r="G1389" t="s">
        <v>39</v>
      </c>
      <c r="H1389" t="s">
        <v>32</v>
      </c>
      <c r="I1389" t="s">
        <v>33</v>
      </c>
      <c r="J1389" s="2">
        <v>45444</v>
      </c>
      <c r="K1389" s="2">
        <v>45448</v>
      </c>
      <c r="L1389" s="2">
        <v>45454</v>
      </c>
      <c r="M1389" s="2">
        <v>45457</v>
      </c>
      <c r="N1389" s="2">
        <v>45466</v>
      </c>
      <c r="O1389">
        <v>1</v>
      </c>
      <c r="P1389">
        <v>1</v>
      </c>
      <c r="Q1389">
        <v>1</v>
      </c>
      <c r="R1389">
        <v>0</v>
      </c>
      <c r="S1389">
        <v>1</v>
      </c>
      <c r="T1389" t="s">
        <v>49</v>
      </c>
      <c r="U1389">
        <v>84</v>
      </c>
      <c r="W1389">
        <v>2</v>
      </c>
      <c r="X1389">
        <v>502784</v>
      </c>
      <c r="Y1389" t="s">
        <v>80</v>
      </c>
    </row>
    <row r="1390" spans="1:25">
      <c r="A1390" s="1" t="s">
        <v>1459</v>
      </c>
      <c r="B1390" t="s">
        <v>26</v>
      </c>
      <c r="C1390" t="s">
        <v>71</v>
      </c>
      <c r="D1390" t="s">
        <v>44</v>
      </c>
      <c r="E1390" t="s">
        <v>63</v>
      </c>
      <c r="F1390" t="s">
        <v>64</v>
      </c>
      <c r="G1390" t="s">
        <v>39</v>
      </c>
      <c r="H1390" t="s">
        <v>32</v>
      </c>
      <c r="I1390" t="s">
        <v>41</v>
      </c>
      <c r="J1390" s="2">
        <v>44981</v>
      </c>
      <c r="K1390" s="2">
        <v>44984</v>
      </c>
      <c r="L1390" s="2">
        <v>44992</v>
      </c>
      <c r="M1390" s="2">
        <v>44999</v>
      </c>
      <c r="N1390" s="2">
        <v>44995</v>
      </c>
      <c r="O1390">
        <v>1</v>
      </c>
      <c r="P1390">
        <v>0</v>
      </c>
      <c r="Q1390">
        <v>0</v>
      </c>
      <c r="R1390">
        <v>0</v>
      </c>
      <c r="S1390">
        <v>0</v>
      </c>
      <c r="T1390" t="s">
        <v>34</v>
      </c>
      <c r="U1390">
        <v>96</v>
      </c>
      <c r="W1390">
        <v>4</v>
      </c>
    </row>
    <row r="1391" spans="1:25">
      <c r="A1391" s="1" t="s">
        <v>1460</v>
      </c>
      <c r="B1391" t="s">
        <v>70</v>
      </c>
      <c r="C1391" t="s">
        <v>27</v>
      </c>
      <c r="D1391" t="s">
        <v>44</v>
      </c>
      <c r="E1391" t="s">
        <v>102</v>
      </c>
      <c r="F1391" t="s">
        <v>30</v>
      </c>
      <c r="G1391" t="s">
        <v>45</v>
      </c>
      <c r="H1391" t="s">
        <v>56</v>
      </c>
      <c r="I1391" t="s">
        <v>33</v>
      </c>
      <c r="J1391" s="2">
        <v>45342</v>
      </c>
      <c r="K1391" s="2">
        <v>45347</v>
      </c>
      <c r="L1391" s="2">
        <v>45354</v>
      </c>
      <c r="M1391" s="2">
        <v>45358</v>
      </c>
      <c r="N1391" s="2">
        <v>45371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74</v>
      </c>
      <c r="U1391">
        <v>67</v>
      </c>
      <c r="W1391">
        <v>1</v>
      </c>
    </row>
    <row r="1392" spans="1:25">
      <c r="A1392" s="1" t="s">
        <v>1461</v>
      </c>
      <c r="B1392" t="s">
        <v>90</v>
      </c>
      <c r="C1392" t="s">
        <v>27</v>
      </c>
      <c r="D1392" t="s">
        <v>52</v>
      </c>
      <c r="E1392" t="s">
        <v>102</v>
      </c>
      <c r="F1392" t="s">
        <v>76</v>
      </c>
      <c r="G1392" t="s">
        <v>55</v>
      </c>
      <c r="H1392" t="s">
        <v>32</v>
      </c>
      <c r="I1392" t="s">
        <v>41</v>
      </c>
      <c r="J1392" s="2">
        <v>44982</v>
      </c>
      <c r="K1392" s="2">
        <v>44984</v>
      </c>
      <c r="L1392" s="2">
        <v>44989</v>
      </c>
      <c r="M1392" s="2">
        <v>44992</v>
      </c>
      <c r="N1392" s="2">
        <v>45006</v>
      </c>
      <c r="O1392">
        <v>1</v>
      </c>
      <c r="P1392">
        <v>1</v>
      </c>
      <c r="Q1392">
        <v>1</v>
      </c>
      <c r="R1392">
        <v>1</v>
      </c>
      <c r="S1392">
        <v>0</v>
      </c>
      <c r="T1392" t="s">
        <v>61</v>
      </c>
      <c r="U1392">
        <v>86</v>
      </c>
      <c r="V1392">
        <v>24</v>
      </c>
      <c r="W1392">
        <v>0</v>
      </c>
      <c r="X1392">
        <v>615580</v>
      </c>
    </row>
    <row r="1393" spans="1:25">
      <c r="A1393" s="1" t="s">
        <v>1462</v>
      </c>
      <c r="B1393" t="s">
        <v>70</v>
      </c>
      <c r="C1393" t="s">
        <v>71</v>
      </c>
      <c r="D1393" t="s">
        <v>44</v>
      </c>
      <c r="E1393" t="s">
        <v>29</v>
      </c>
      <c r="F1393" t="s">
        <v>67</v>
      </c>
      <c r="G1393" t="s">
        <v>45</v>
      </c>
      <c r="H1393" t="s">
        <v>40</v>
      </c>
      <c r="I1393" t="s">
        <v>33</v>
      </c>
      <c r="J1393" s="2">
        <v>45389</v>
      </c>
      <c r="K1393" s="2">
        <v>45390</v>
      </c>
      <c r="L1393" s="2">
        <v>45394</v>
      </c>
      <c r="M1393" s="2">
        <v>45401</v>
      </c>
      <c r="N1393" s="2">
        <v>45412</v>
      </c>
      <c r="O1393">
        <v>0</v>
      </c>
      <c r="P1393">
        <v>0</v>
      </c>
      <c r="Q1393">
        <v>0</v>
      </c>
      <c r="R1393">
        <v>0</v>
      </c>
      <c r="S1393">
        <v>0</v>
      </c>
      <c r="T1393" t="s">
        <v>74</v>
      </c>
      <c r="U1393">
        <v>67</v>
      </c>
      <c r="W1393">
        <v>7</v>
      </c>
    </row>
    <row r="1394" spans="1:25">
      <c r="A1394" s="1" t="s">
        <v>1463</v>
      </c>
      <c r="B1394" t="s">
        <v>70</v>
      </c>
      <c r="C1394" t="s">
        <v>37</v>
      </c>
      <c r="D1394" t="s">
        <v>52</v>
      </c>
      <c r="E1394" t="s">
        <v>102</v>
      </c>
      <c r="F1394" t="s">
        <v>30</v>
      </c>
      <c r="G1394" t="s">
        <v>31</v>
      </c>
      <c r="H1394" t="s">
        <v>32</v>
      </c>
      <c r="I1394" t="s">
        <v>33</v>
      </c>
      <c r="J1394" s="2">
        <v>45229</v>
      </c>
      <c r="K1394" s="2">
        <v>45233</v>
      </c>
      <c r="L1394" s="2">
        <v>45241</v>
      </c>
      <c r="M1394" s="2">
        <v>45246</v>
      </c>
      <c r="N1394" s="2">
        <v>45254</v>
      </c>
      <c r="O1394">
        <v>1</v>
      </c>
      <c r="P1394">
        <v>1</v>
      </c>
      <c r="Q1394">
        <v>0</v>
      </c>
      <c r="R1394">
        <v>0</v>
      </c>
      <c r="S1394">
        <v>0</v>
      </c>
      <c r="T1394" t="s">
        <v>34</v>
      </c>
      <c r="U1394">
        <v>48</v>
      </c>
      <c r="W1394">
        <v>1</v>
      </c>
    </row>
    <row r="1395" spans="1:25">
      <c r="A1395" s="1" t="s">
        <v>1464</v>
      </c>
      <c r="B1395" t="s">
        <v>36</v>
      </c>
      <c r="C1395" t="s">
        <v>37</v>
      </c>
      <c r="D1395" t="s">
        <v>59</v>
      </c>
      <c r="E1395" t="s">
        <v>29</v>
      </c>
      <c r="F1395" t="s">
        <v>48</v>
      </c>
      <c r="G1395" t="s">
        <v>31</v>
      </c>
      <c r="H1395" t="s">
        <v>56</v>
      </c>
      <c r="I1395" t="s">
        <v>41</v>
      </c>
      <c r="J1395" s="2">
        <v>45420</v>
      </c>
      <c r="K1395" s="2">
        <v>45424</v>
      </c>
      <c r="L1395" s="2">
        <v>45429</v>
      </c>
      <c r="M1395" s="2">
        <v>45436</v>
      </c>
      <c r="N1395" s="2">
        <v>45450</v>
      </c>
      <c r="O1395">
        <v>0</v>
      </c>
      <c r="P1395">
        <v>0</v>
      </c>
      <c r="Q1395">
        <v>0</v>
      </c>
      <c r="R1395">
        <v>0</v>
      </c>
      <c r="S1395">
        <v>0</v>
      </c>
      <c r="T1395" t="s">
        <v>74</v>
      </c>
      <c r="U1395">
        <v>64</v>
      </c>
      <c r="W1395">
        <v>2</v>
      </c>
    </row>
    <row r="1396" spans="1:25">
      <c r="A1396" s="1" t="s">
        <v>1465</v>
      </c>
      <c r="B1396" t="s">
        <v>26</v>
      </c>
      <c r="C1396" t="s">
        <v>71</v>
      </c>
      <c r="D1396" t="s">
        <v>59</v>
      </c>
      <c r="E1396" t="s">
        <v>66</v>
      </c>
      <c r="F1396" t="s">
        <v>30</v>
      </c>
      <c r="G1396" t="s">
        <v>60</v>
      </c>
      <c r="H1396" t="s">
        <v>40</v>
      </c>
      <c r="I1396" t="s">
        <v>41</v>
      </c>
      <c r="J1396" s="2">
        <v>45027</v>
      </c>
      <c r="K1396" s="2">
        <v>45032</v>
      </c>
      <c r="L1396" s="2">
        <v>45038</v>
      </c>
      <c r="M1396" s="2">
        <v>45040</v>
      </c>
      <c r="N1396" s="2">
        <v>45044</v>
      </c>
      <c r="O1396">
        <v>1</v>
      </c>
      <c r="P1396">
        <v>1</v>
      </c>
      <c r="Q1396">
        <v>1</v>
      </c>
      <c r="R1396">
        <v>1</v>
      </c>
      <c r="S1396">
        <v>0</v>
      </c>
      <c r="T1396" t="s">
        <v>61</v>
      </c>
      <c r="U1396">
        <v>60</v>
      </c>
      <c r="V1396">
        <v>17</v>
      </c>
      <c r="W1396">
        <v>6</v>
      </c>
      <c r="X1396">
        <v>1418146</v>
      </c>
    </row>
    <row r="1397" spans="1:25">
      <c r="A1397" s="1" t="s">
        <v>1466</v>
      </c>
      <c r="B1397" t="s">
        <v>26</v>
      </c>
      <c r="C1397" t="s">
        <v>37</v>
      </c>
      <c r="D1397" t="s">
        <v>44</v>
      </c>
      <c r="E1397" t="s">
        <v>63</v>
      </c>
      <c r="F1397" t="s">
        <v>38</v>
      </c>
      <c r="G1397" t="s">
        <v>45</v>
      </c>
      <c r="H1397" t="s">
        <v>32</v>
      </c>
      <c r="I1397" t="s">
        <v>41</v>
      </c>
      <c r="J1397" s="2">
        <v>45042</v>
      </c>
      <c r="K1397" s="2">
        <v>45044</v>
      </c>
      <c r="L1397" s="2">
        <v>45053</v>
      </c>
      <c r="M1397" s="2">
        <v>45060</v>
      </c>
      <c r="N1397" s="2">
        <v>45065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74</v>
      </c>
      <c r="U1397">
        <v>87</v>
      </c>
      <c r="W1397">
        <v>3</v>
      </c>
    </row>
    <row r="1398" spans="1:25">
      <c r="A1398" s="1" t="s">
        <v>1467</v>
      </c>
      <c r="B1398" t="s">
        <v>43</v>
      </c>
      <c r="C1398" t="s">
        <v>47</v>
      </c>
      <c r="D1398" t="s">
        <v>59</v>
      </c>
      <c r="E1398" t="s">
        <v>54</v>
      </c>
      <c r="F1398" t="s">
        <v>48</v>
      </c>
      <c r="G1398" t="s">
        <v>60</v>
      </c>
      <c r="H1398" t="s">
        <v>40</v>
      </c>
      <c r="I1398" t="s">
        <v>41</v>
      </c>
      <c r="J1398" s="2">
        <v>45432</v>
      </c>
      <c r="K1398" s="2">
        <v>45434</v>
      </c>
      <c r="L1398" s="2">
        <v>45443</v>
      </c>
      <c r="M1398" s="2">
        <v>45448</v>
      </c>
      <c r="N1398" s="2">
        <v>45453</v>
      </c>
      <c r="O1398">
        <v>1</v>
      </c>
      <c r="P1398">
        <v>1</v>
      </c>
      <c r="Q1398">
        <v>1</v>
      </c>
      <c r="R1398">
        <v>0</v>
      </c>
      <c r="S1398">
        <v>0</v>
      </c>
      <c r="T1398" t="s">
        <v>49</v>
      </c>
      <c r="U1398">
        <v>70</v>
      </c>
      <c r="W1398">
        <v>12</v>
      </c>
      <c r="X1398">
        <v>2308535</v>
      </c>
      <c r="Y1398" t="s">
        <v>87</v>
      </c>
    </row>
    <row r="1399" spans="1:25">
      <c r="A1399" s="1" t="s">
        <v>1468</v>
      </c>
      <c r="B1399" t="s">
        <v>70</v>
      </c>
      <c r="C1399" t="s">
        <v>37</v>
      </c>
      <c r="D1399" t="s">
        <v>44</v>
      </c>
      <c r="E1399" t="s">
        <v>102</v>
      </c>
      <c r="F1399" t="s">
        <v>76</v>
      </c>
      <c r="G1399" t="s">
        <v>31</v>
      </c>
      <c r="H1399" t="s">
        <v>32</v>
      </c>
      <c r="I1399" t="s">
        <v>41</v>
      </c>
      <c r="J1399" s="2">
        <v>44936</v>
      </c>
      <c r="K1399" s="2">
        <v>44940</v>
      </c>
      <c r="L1399" s="2">
        <v>44943</v>
      </c>
      <c r="M1399" s="2">
        <v>44947</v>
      </c>
      <c r="N1399" s="2">
        <v>44962</v>
      </c>
      <c r="O1399">
        <v>1</v>
      </c>
      <c r="P1399">
        <v>1</v>
      </c>
      <c r="Q1399">
        <v>1</v>
      </c>
      <c r="R1399">
        <v>1</v>
      </c>
      <c r="S1399">
        <v>0</v>
      </c>
      <c r="T1399" t="s">
        <v>61</v>
      </c>
      <c r="U1399">
        <v>83</v>
      </c>
      <c r="V1399">
        <v>26</v>
      </c>
      <c r="W1399">
        <v>4</v>
      </c>
      <c r="X1399">
        <v>684144</v>
      </c>
    </row>
    <row r="1400" spans="1:25">
      <c r="A1400" s="1" t="s">
        <v>1469</v>
      </c>
      <c r="B1400" t="s">
        <v>90</v>
      </c>
      <c r="C1400" t="s">
        <v>47</v>
      </c>
      <c r="D1400" t="s">
        <v>44</v>
      </c>
      <c r="E1400" t="s">
        <v>29</v>
      </c>
      <c r="F1400" t="s">
        <v>76</v>
      </c>
      <c r="G1400" t="s">
        <v>39</v>
      </c>
      <c r="H1400" t="s">
        <v>56</v>
      </c>
      <c r="I1400" t="s">
        <v>33</v>
      </c>
      <c r="J1400" s="2">
        <v>45000</v>
      </c>
      <c r="K1400" s="2">
        <v>45002</v>
      </c>
      <c r="L1400" s="2">
        <v>45011</v>
      </c>
      <c r="M1400" s="2">
        <v>45014</v>
      </c>
      <c r="N1400" s="2">
        <v>45020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74</v>
      </c>
      <c r="U1400">
        <v>54</v>
      </c>
      <c r="W1400">
        <v>11</v>
      </c>
    </row>
    <row r="1401" spans="1:25">
      <c r="A1401" s="1" t="s">
        <v>1470</v>
      </c>
      <c r="B1401" t="s">
        <v>26</v>
      </c>
      <c r="C1401" t="s">
        <v>78</v>
      </c>
      <c r="D1401" t="s">
        <v>28</v>
      </c>
      <c r="E1401" t="s">
        <v>54</v>
      </c>
      <c r="F1401" t="s">
        <v>30</v>
      </c>
      <c r="G1401" t="s">
        <v>31</v>
      </c>
      <c r="H1401" t="s">
        <v>32</v>
      </c>
      <c r="I1401" t="s">
        <v>41</v>
      </c>
      <c r="J1401" s="2">
        <v>45038</v>
      </c>
      <c r="K1401" s="2">
        <v>45042</v>
      </c>
      <c r="L1401" s="2">
        <v>45050</v>
      </c>
      <c r="M1401" s="2">
        <v>45056</v>
      </c>
      <c r="N1401" s="2">
        <v>45057</v>
      </c>
      <c r="O1401">
        <v>1</v>
      </c>
      <c r="P1401">
        <v>1</v>
      </c>
      <c r="Q1401">
        <v>1</v>
      </c>
      <c r="R1401">
        <v>1</v>
      </c>
      <c r="S1401">
        <v>0</v>
      </c>
      <c r="T1401" t="s">
        <v>61</v>
      </c>
      <c r="U1401">
        <v>72</v>
      </c>
      <c r="V1401">
        <v>19</v>
      </c>
      <c r="W1401">
        <v>8</v>
      </c>
      <c r="X1401">
        <v>2026027</v>
      </c>
    </row>
    <row r="1402" spans="1:25">
      <c r="A1402" s="1" t="s">
        <v>1471</v>
      </c>
      <c r="B1402" t="s">
        <v>43</v>
      </c>
      <c r="C1402" t="s">
        <v>27</v>
      </c>
      <c r="D1402" t="s">
        <v>73</v>
      </c>
      <c r="E1402" t="s">
        <v>66</v>
      </c>
      <c r="F1402" t="s">
        <v>64</v>
      </c>
      <c r="G1402" t="s">
        <v>39</v>
      </c>
      <c r="H1402" t="s">
        <v>32</v>
      </c>
      <c r="I1402" t="s">
        <v>33</v>
      </c>
      <c r="J1402" s="2">
        <v>45296</v>
      </c>
      <c r="K1402" s="2">
        <v>45297</v>
      </c>
      <c r="L1402" s="2">
        <v>45306</v>
      </c>
      <c r="M1402" s="2">
        <v>45311</v>
      </c>
      <c r="N1402" s="2">
        <v>45319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74</v>
      </c>
      <c r="U1402">
        <v>78</v>
      </c>
      <c r="W1402">
        <v>2</v>
      </c>
    </row>
    <row r="1403" spans="1:25">
      <c r="A1403" s="1" t="s">
        <v>1472</v>
      </c>
      <c r="B1403" t="s">
        <v>26</v>
      </c>
      <c r="C1403" t="s">
        <v>78</v>
      </c>
      <c r="D1403" t="s">
        <v>52</v>
      </c>
      <c r="E1403" t="s">
        <v>54</v>
      </c>
      <c r="F1403" t="s">
        <v>76</v>
      </c>
      <c r="G1403" t="s">
        <v>55</v>
      </c>
      <c r="H1403" t="s">
        <v>56</v>
      </c>
      <c r="I1403" t="s">
        <v>41</v>
      </c>
      <c r="J1403" s="2">
        <v>45301</v>
      </c>
      <c r="K1403" s="2">
        <v>45306</v>
      </c>
      <c r="L1403" s="2">
        <v>45311</v>
      </c>
      <c r="M1403" s="2">
        <v>45318</v>
      </c>
      <c r="N1403" s="2">
        <v>45323</v>
      </c>
      <c r="O1403">
        <v>1</v>
      </c>
      <c r="P1403">
        <v>1</v>
      </c>
      <c r="Q1403">
        <v>1</v>
      </c>
      <c r="R1403">
        <v>0</v>
      </c>
      <c r="S1403">
        <v>0</v>
      </c>
      <c r="T1403" t="s">
        <v>49</v>
      </c>
      <c r="U1403">
        <v>61</v>
      </c>
      <c r="W1403">
        <v>10</v>
      </c>
      <c r="X1403">
        <v>1658255</v>
      </c>
      <c r="Y1403" t="s">
        <v>68</v>
      </c>
    </row>
    <row r="1404" spans="1:25">
      <c r="A1404" s="1" t="s">
        <v>1473</v>
      </c>
      <c r="B1404" t="s">
        <v>58</v>
      </c>
      <c r="C1404" t="s">
        <v>37</v>
      </c>
      <c r="D1404" t="s">
        <v>73</v>
      </c>
      <c r="E1404" t="s">
        <v>63</v>
      </c>
      <c r="F1404" t="s">
        <v>76</v>
      </c>
      <c r="G1404" t="s">
        <v>45</v>
      </c>
      <c r="H1404" t="s">
        <v>56</v>
      </c>
      <c r="I1404" t="s">
        <v>41</v>
      </c>
      <c r="J1404" s="2">
        <v>45390</v>
      </c>
      <c r="K1404" s="2">
        <v>45393</v>
      </c>
      <c r="L1404" s="2">
        <v>45401</v>
      </c>
      <c r="M1404" s="2">
        <v>45403</v>
      </c>
      <c r="N1404" s="2">
        <v>45409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74</v>
      </c>
      <c r="U1404">
        <v>78</v>
      </c>
      <c r="W1404">
        <v>3</v>
      </c>
    </row>
    <row r="1405" spans="1:25">
      <c r="A1405" s="1" t="s">
        <v>1474</v>
      </c>
      <c r="B1405" t="s">
        <v>43</v>
      </c>
      <c r="C1405" t="s">
        <v>37</v>
      </c>
      <c r="D1405" t="s">
        <v>59</v>
      </c>
      <c r="E1405" t="s">
        <v>102</v>
      </c>
      <c r="F1405" t="s">
        <v>30</v>
      </c>
      <c r="G1405" t="s">
        <v>55</v>
      </c>
      <c r="H1405" t="s">
        <v>56</v>
      </c>
      <c r="I1405" t="s">
        <v>41</v>
      </c>
      <c r="J1405" s="2">
        <v>45404</v>
      </c>
      <c r="K1405" s="2">
        <v>45409</v>
      </c>
      <c r="L1405" s="2">
        <v>45416</v>
      </c>
      <c r="M1405" s="2">
        <v>45421</v>
      </c>
      <c r="N1405" s="2">
        <v>45426</v>
      </c>
      <c r="O1405">
        <v>1</v>
      </c>
      <c r="P1405">
        <v>0</v>
      </c>
      <c r="Q1405">
        <v>0</v>
      </c>
      <c r="R1405">
        <v>0</v>
      </c>
      <c r="S1405">
        <v>0</v>
      </c>
      <c r="T1405" t="s">
        <v>34</v>
      </c>
      <c r="U1405">
        <v>50</v>
      </c>
      <c r="W1405">
        <v>1</v>
      </c>
    </row>
    <row r="1406" spans="1:25">
      <c r="A1406" s="1" t="s">
        <v>1475</v>
      </c>
      <c r="B1406" t="s">
        <v>70</v>
      </c>
      <c r="C1406" t="s">
        <v>37</v>
      </c>
      <c r="D1406" t="s">
        <v>52</v>
      </c>
      <c r="E1406" t="s">
        <v>102</v>
      </c>
      <c r="F1406" t="s">
        <v>48</v>
      </c>
      <c r="G1406" t="s">
        <v>60</v>
      </c>
      <c r="H1406" t="s">
        <v>40</v>
      </c>
      <c r="I1406" t="s">
        <v>33</v>
      </c>
      <c r="J1406" s="2">
        <v>45100</v>
      </c>
      <c r="K1406" s="2">
        <v>45101</v>
      </c>
      <c r="L1406" s="2">
        <v>45105</v>
      </c>
      <c r="M1406" s="2">
        <v>45107</v>
      </c>
      <c r="N1406" s="2">
        <v>45136</v>
      </c>
      <c r="O1406">
        <v>1</v>
      </c>
      <c r="P1406">
        <v>1</v>
      </c>
      <c r="Q1406">
        <v>1</v>
      </c>
      <c r="R1406">
        <v>1</v>
      </c>
      <c r="S1406">
        <v>0</v>
      </c>
      <c r="T1406" t="s">
        <v>61</v>
      </c>
      <c r="U1406">
        <v>61</v>
      </c>
      <c r="V1406">
        <v>36</v>
      </c>
      <c r="W1406">
        <v>3</v>
      </c>
      <c r="X1406">
        <v>658683</v>
      </c>
    </row>
    <row r="1407" spans="1:25">
      <c r="A1407" s="1" t="s">
        <v>1476</v>
      </c>
      <c r="B1407" t="s">
        <v>70</v>
      </c>
      <c r="C1407" t="s">
        <v>27</v>
      </c>
      <c r="D1407" t="s">
        <v>59</v>
      </c>
      <c r="E1407" t="s">
        <v>102</v>
      </c>
      <c r="F1407" t="s">
        <v>38</v>
      </c>
      <c r="G1407" t="s">
        <v>45</v>
      </c>
      <c r="H1407" t="s">
        <v>56</v>
      </c>
      <c r="I1407" t="s">
        <v>33</v>
      </c>
      <c r="J1407" s="2">
        <v>45071</v>
      </c>
      <c r="K1407" s="2">
        <v>45072</v>
      </c>
      <c r="L1407" s="2">
        <v>45082</v>
      </c>
      <c r="M1407" s="2">
        <v>45088</v>
      </c>
      <c r="N1407" s="2">
        <v>45094</v>
      </c>
      <c r="O1407">
        <v>1</v>
      </c>
      <c r="P1407">
        <v>1</v>
      </c>
      <c r="Q1407">
        <v>1</v>
      </c>
      <c r="R1407">
        <v>0</v>
      </c>
      <c r="S1407">
        <v>0</v>
      </c>
      <c r="T1407" t="s">
        <v>49</v>
      </c>
      <c r="U1407">
        <v>70</v>
      </c>
      <c r="W1407">
        <v>0</v>
      </c>
      <c r="X1407">
        <v>648051</v>
      </c>
      <c r="Y1407" t="s">
        <v>50</v>
      </c>
    </row>
    <row r="1408" spans="1:25">
      <c r="A1408" s="1" t="s">
        <v>1477</v>
      </c>
      <c r="B1408" t="s">
        <v>36</v>
      </c>
      <c r="C1408" t="s">
        <v>71</v>
      </c>
      <c r="D1408" t="s">
        <v>73</v>
      </c>
      <c r="E1408" t="s">
        <v>66</v>
      </c>
      <c r="F1408" t="s">
        <v>76</v>
      </c>
      <c r="G1408" t="s">
        <v>60</v>
      </c>
      <c r="H1408" t="s">
        <v>40</v>
      </c>
      <c r="I1408" t="s">
        <v>41</v>
      </c>
      <c r="J1408" s="2">
        <v>45080</v>
      </c>
      <c r="K1408" s="2">
        <v>45081</v>
      </c>
      <c r="L1408" s="2">
        <v>45089</v>
      </c>
      <c r="M1408" s="2">
        <v>45093</v>
      </c>
      <c r="N1408" s="2">
        <v>45102</v>
      </c>
      <c r="O1408">
        <v>1</v>
      </c>
      <c r="P1408">
        <v>1</v>
      </c>
      <c r="Q1408">
        <v>1</v>
      </c>
      <c r="R1408">
        <v>0</v>
      </c>
      <c r="S1408">
        <v>1</v>
      </c>
      <c r="T1408" t="s">
        <v>49</v>
      </c>
      <c r="U1408">
        <v>52</v>
      </c>
      <c r="W1408">
        <v>7</v>
      </c>
      <c r="X1408">
        <v>1148570</v>
      </c>
      <c r="Y1408" t="s">
        <v>80</v>
      </c>
    </row>
    <row r="1409" spans="1:25">
      <c r="A1409" s="1" t="s">
        <v>1478</v>
      </c>
      <c r="B1409" t="s">
        <v>26</v>
      </c>
      <c r="C1409" t="s">
        <v>47</v>
      </c>
      <c r="D1409" t="s">
        <v>52</v>
      </c>
      <c r="E1409" t="s">
        <v>54</v>
      </c>
      <c r="F1409" t="s">
        <v>64</v>
      </c>
      <c r="G1409" t="s">
        <v>31</v>
      </c>
      <c r="H1409" t="s">
        <v>56</v>
      </c>
      <c r="I1409" t="s">
        <v>33</v>
      </c>
      <c r="J1409" s="2">
        <v>44993</v>
      </c>
      <c r="K1409" s="2">
        <v>44995</v>
      </c>
      <c r="L1409" s="2">
        <v>44999</v>
      </c>
      <c r="M1409" s="2">
        <v>45005</v>
      </c>
      <c r="N1409" s="2">
        <v>45006</v>
      </c>
      <c r="O1409">
        <v>1</v>
      </c>
      <c r="P1409">
        <v>1</v>
      </c>
      <c r="Q1409">
        <v>1</v>
      </c>
      <c r="R1409">
        <v>1</v>
      </c>
      <c r="S1409">
        <v>0</v>
      </c>
      <c r="T1409" t="s">
        <v>61</v>
      </c>
      <c r="U1409">
        <v>87</v>
      </c>
      <c r="V1409">
        <v>13</v>
      </c>
      <c r="W1409">
        <v>13</v>
      </c>
      <c r="X1409">
        <v>2479848</v>
      </c>
    </row>
    <row r="1410" spans="1:25">
      <c r="A1410" s="1" t="s">
        <v>1479</v>
      </c>
      <c r="B1410" t="s">
        <v>36</v>
      </c>
      <c r="C1410" t="s">
        <v>37</v>
      </c>
      <c r="D1410" t="s">
        <v>59</v>
      </c>
      <c r="E1410" t="s">
        <v>66</v>
      </c>
      <c r="F1410" t="s">
        <v>30</v>
      </c>
      <c r="G1410" t="s">
        <v>45</v>
      </c>
      <c r="H1410" t="s">
        <v>32</v>
      </c>
      <c r="I1410" t="s">
        <v>41</v>
      </c>
      <c r="J1410" s="2">
        <v>45121</v>
      </c>
      <c r="K1410" s="2">
        <v>45122</v>
      </c>
      <c r="L1410" s="2">
        <v>45131</v>
      </c>
      <c r="M1410" s="2">
        <v>45135</v>
      </c>
      <c r="N1410" s="2">
        <v>45135</v>
      </c>
      <c r="O1410">
        <v>1</v>
      </c>
      <c r="P1410">
        <v>1</v>
      </c>
      <c r="Q1410">
        <v>0</v>
      </c>
      <c r="R1410">
        <v>0</v>
      </c>
      <c r="S1410">
        <v>0</v>
      </c>
      <c r="T1410" t="s">
        <v>34</v>
      </c>
      <c r="U1410">
        <v>90</v>
      </c>
      <c r="W1410">
        <v>3</v>
      </c>
    </row>
    <row r="1411" spans="1:25">
      <c r="A1411" s="1" t="s">
        <v>1480</v>
      </c>
      <c r="B1411" t="s">
        <v>58</v>
      </c>
      <c r="C1411" t="s">
        <v>78</v>
      </c>
      <c r="D1411" t="s">
        <v>44</v>
      </c>
      <c r="E1411" t="s">
        <v>63</v>
      </c>
      <c r="F1411" t="s">
        <v>38</v>
      </c>
      <c r="G1411" t="s">
        <v>45</v>
      </c>
      <c r="H1411" t="s">
        <v>40</v>
      </c>
      <c r="I1411" t="s">
        <v>41</v>
      </c>
      <c r="J1411" s="2">
        <v>45448</v>
      </c>
      <c r="K1411" s="2">
        <v>45453</v>
      </c>
      <c r="L1411" s="2">
        <v>45463</v>
      </c>
      <c r="M1411" s="2">
        <v>45466</v>
      </c>
      <c r="N1411" s="2">
        <v>45461</v>
      </c>
      <c r="O1411">
        <v>1</v>
      </c>
      <c r="P1411">
        <v>1</v>
      </c>
      <c r="Q1411">
        <v>1</v>
      </c>
      <c r="R1411">
        <v>1</v>
      </c>
      <c r="S1411">
        <v>0</v>
      </c>
      <c r="T1411" t="s">
        <v>61</v>
      </c>
      <c r="U1411">
        <v>49</v>
      </c>
      <c r="V1411">
        <v>13</v>
      </c>
      <c r="W1411">
        <v>10</v>
      </c>
      <c r="X1411">
        <v>1868366</v>
      </c>
    </row>
    <row r="1412" spans="1:25">
      <c r="A1412" s="1" t="s">
        <v>1481</v>
      </c>
      <c r="B1412" t="s">
        <v>70</v>
      </c>
      <c r="C1412" t="s">
        <v>71</v>
      </c>
      <c r="D1412" t="s">
        <v>44</v>
      </c>
      <c r="E1412" t="s">
        <v>102</v>
      </c>
      <c r="F1412" t="s">
        <v>48</v>
      </c>
      <c r="G1412" t="s">
        <v>55</v>
      </c>
      <c r="H1412" t="s">
        <v>56</v>
      </c>
      <c r="I1412" t="s">
        <v>33</v>
      </c>
      <c r="J1412" s="2">
        <v>45374</v>
      </c>
      <c r="K1412" s="2">
        <v>45378</v>
      </c>
      <c r="L1412" s="2">
        <v>45383</v>
      </c>
      <c r="M1412" s="2">
        <v>45386</v>
      </c>
      <c r="N1412" s="2">
        <v>45411</v>
      </c>
      <c r="O1412">
        <v>0</v>
      </c>
      <c r="P1412">
        <v>0</v>
      </c>
      <c r="Q1412">
        <v>0</v>
      </c>
      <c r="R1412">
        <v>0</v>
      </c>
      <c r="S1412">
        <v>0</v>
      </c>
      <c r="T1412" t="s">
        <v>74</v>
      </c>
      <c r="U1412">
        <v>89</v>
      </c>
      <c r="W1412">
        <v>5</v>
      </c>
    </row>
    <row r="1413" spans="1:25">
      <c r="A1413" s="1" t="s">
        <v>1482</v>
      </c>
      <c r="B1413" t="s">
        <v>36</v>
      </c>
      <c r="C1413" t="s">
        <v>78</v>
      </c>
      <c r="D1413" t="s">
        <v>28</v>
      </c>
      <c r="E1413" t="s">
        <v>66</v>
      </c>
      <c r="F1413" t="s">
        <v>64</v>
      </c>
      <c r="G1413" t="s">
        <v>31</v>
      </c>
      <c r="H1413" t="s">
        <v>32</v>
      </c>
      <c r="I1413" t="s">
        <v>33</v>
      </c>
      <c r="J1413" s="2">
        <v>45230</v>
      </c>
      <c r="K1413" s="2">
        <v>45234</v>
      </c>
      <c r="L1413" s="2">
        <v>45244</v>
      </c>
      <c r="M1413" s="2">
        <v>45250</v>
      </c>
      <c r="N1413" s="2">
        <v>45253</v>
      </c>
      <c r="O1413">
        <v>0</v>
      </c>
      <c r="P1413">
        <v>0</v>
      </c>
      <c r="Q1413">
        <v>0</v>
      </c>
      <c r="R1413">
        <v>0</v>
      </c>
      <c r="S1413">
        <v>0</v>
      </c>
      <c r="T1413" t="s">
        <v>74</v>
      </c>
      <c r="U1413">
        <v>50</v>
      </c>
      <c r="W1413">
        <v>10</v>
      </c>
    </row>
    <row r="1414" spans="1:25">
      <c r="A1414" s="1" t="s">
        <v>1483</v>
      </c>
      <c r="B1414" t="s">
        <v>26</v>
      </c>
      <c r="C1414" t="s">
        <v>37</v>
      </c>
      <c r="D1414" t="s">
        <v>44</v>
      </c>
      <c r="E1414" t="s">
        <v>102</v>
      </c>
      <c r="F1414" t="s">
        <v>30</v>
      </c>
      <c r="G1414" t="s">
        <v>60</v>
      </c>
      <c r="H1414" t="s">
        <v>56</v>
      </c>
      <c r="I1414" t="s">
        <v>33</v>
      </c>
      <c r="J1414" s="2">
        <v>45321</v>
      </c>
      <c r="K1414" s="2">
        <v>45323</v>
      </c>
      <c r="L1414" s="2">
        <v>45331</v>
      </c>
      <c r="M1414" s="2">
        <v>45334</v>
      </c>
      <c r="N1414" s="2">
        <v>45333</v>
      </c>
      <c r="O1414">
        <v>1</v>
      </c>
      <c r="P1414">
        <v>1</v>
      </c>
      <c r="Q1414">
        <v>1</v>
      </c>
      <c r="R1414">
        <v>1</v>
      </c>
      <c r="S1414">
        <v>0</v>
      </c>
      <c r="T1414" t="s">
        <v>61</v>
      </c>
      <c r="U1414">
        <v>66</v>
      </c>
      <c r="V1414">
        <v>12</v>
      </c>
      <c r="W1414">
        <v>2</v>
      </c>
      <c r="X1414">
        <v>682357</v>
      </c>
    </row>
    <row r="1415" spans="1:25">
      <c r="A1415" s="1" t="s">
        <v>1484</v>
      </c>
      <c r="B1415" t="s">
        <v>26</v>
      </c>
      <c r="C1415" t="s">
        <v>71</v>
      </c>
      <c r="D1415" t="s">
        <v>44</v>
      </c>
      <c r="E1415" t="s">
        <v>66</v>
      </c>
      <c r="F1415" t="s">
        <v>48</v>
      </c>
      <c r="G1415" t="s">
        <v>31</v>
      </c>
      <c r="H1415" t="s">
        <v>40</v>
      </c>
      <c r="I1415" t="s">
        <v>41</v>
      </c>
      <c r="J1415" s="2">
        <v>45080</v>
      </c>
      <c r="K1415" s="2">
        <v>45085</v>
      </c>
      <c r="L1415" s="2">
        <v>45091</v>
      </c>
      <c r="M1415" s="2">
        <v>45097</v>
      </c>
      <c r="N1415" s="2">
        <v>45096</v>
      </c>
      <c r="O1415">
        <v>1</v>
      </c>
      <c r="P1415">
        <v>1</v>
      </c>
      <c r="Q1415">
        <v>0</v>
      </c>
      <c r="R1415">
        <v>0</v>
      </c>
      <c r="S1415">
        <v>0</v>
      </c>
      <c r="T1415" t="s">
        <v>34</v>
      </c>
      <c r="U1415">
        <v>93</v>
      </c>
      <c r="W1415">
        <v>5</v>
      </c>
    </row>
    <row r="1416" spans="1:25">
      <c r="A1416" s="1" t="s">
        <v>1485</v>
      </c>
      <c r="B1416" t="s">
        <v>70</v>
      </c>
      <c r="C1416" t="s">
        <v>71</v>
      </c>
      <c r="D1416" t="s">
        <v>73</v>
      </c>
      <c r="E1416" t="s">
        <v>66</v>
      </c>
      <c r="F1416" t="s">
        <v>76</v>
      </c>
      <c r="G1416" t="s">
        <v>39</v>
      </c>
      <c r="H1416" t="s">
        <v>40</v>
      </c>
      <c r="I1416" t="s">
        <v>41</v>
      </c>
      <c r="J1416" s="2">
        <v>45338</v>
      </c>
      <c r="K1416" s="2">
        <v>45340</v>
      </c>
      <c r="L1416" s="2">
        <v>45346</v>
      </c>
      <c r="M1416" s="2">
        <v>45348</v>
      </c>
      <c r="N1416" s="2">
        <v>45358</v>
      </c>
      <c r="O1416">
        <v>1</v>
      </c>
      <c r="P1416">
        <v>1</v>
      </c>
      <c r="Q1416">
        <v>0</v>
      </c>
      <c r="R1416">
        <v>0</v>
      </c>
      <c r="S1416">
        <v>0</v>
      </c>
      <c r="T1416" t="s">
        <v>34</v>
      </c>
      <c r="U1416">
        <v>83</v>
      </c>
      <c r="W1416">
        <v>3</v>
      </c>
    </row>
    <row r="1417" spans="1:25">
      <c r="A1417" s="1" t="s">
        <v>1486</v>
      </c>
      <c r="B1417" t="s">
        <v>70</v>
      </c>
      <c r="C1417" t="s">
        <v>71</v>
      </c>
      <c r="D1417" t="s">
        <v>73</v>
      </c>
      <c r="E1417" t="s">
        <v>102</v>
      </c>
      <c r="F1417" t="s">
        <v>67</v>
      </c>
      <c r="G1417" t="s">
        <v>45</v>
      </c>
      <c r="H1417" t="s">
        <v>56</v>
      </c>
      <c r="I1417" t="s">
        <v>33</v>
      </c>
      <c r="J1417" s="2">
        <v>45185</v>
      </c>
      <c r="K1417" s="2">
        <v>45188</v>
      </c>
      <c r="L1417" s="2">
        <v>45193</v>
      </c>
      <c r="M1417" s="2">
        <v>45196</v>
      </c>
      <c r="N1417" s="2">
        <v>45218</v>
      </c>
      <c r="O1417">
        <v>1</v>
      </c>
      <c r="P1417">
        <v>0</v>
      </c>
      <c r="Q1417">
        <v>0</v>
      </c>
      <c r="R1417">
        <v>0</v>
      </c>
      <c r="S1417">
        <v>0</v>
      </c>
      <c r="T1417" t="s">
        <v>34</v>
      </c>
      <c r="U1417">
        <v>71</v>
      </c>
      <c r="W1417">
        <v>7</v>
      </c>
    </row>
    <row r="1418" spans="1:25">
      <c r="A1418" s="1" t="s">
        <v>1487</v>
      </c>
      <c r="B1418" t="s">
        <v>70</v>
      </c>
      <c r="C1418" t="s">
        <v>71</v>
      </c>
      <c r="D1418" t="s">
        <v>44</v>
      </c>
      <c r="E1418" t="s">
        <v>63</v>
      </c>
      <c r="F1418" t="s">
        <v>38</v>
      </c>
      <c r="G1418" t="s">
        <v>60</v>
      </c>
      <c r="H1418" t="s">
        <v>40</v>
      </c>
      <c r="I1418" t="s">
        <v>33</v>
      </c>
      <c r="J1418" s="2">
        <v>45042</v>
      </c>
      <c r="K1418" s="2">
        <v>45043</v>
      </c>
      <c r="L1418" s="2">
        <v>45051</v>
      </c>
      <c r="M1418" s="2">
        <v>45054</v>
      </c>
      <c r="N1418" s="2">
        <v>45080</v>
      </c>
      <c r="O1418">
        <v>1</v>
      </c>
      <c r="P1418">
        <v>1</v>
      </c>
      <c r="Q1418">
        <v>1</v>
      </c>
      <c r="R1418">
        <v>1</v>
      </c>
      <c r="S1418">
        <v>0</v>
      </c>
      <c r="T1418" t="s">
        <v>61</v>
      </c>
      <c r="U1418">
        <v>68</v>
      </c>
      <c r="V1418">
        <v>38</v>
      </c>
      <c r="W1418">
        <v>6</v>
      </c>
      <c r="X1418">
        <v>1143958</v>
      </c>
    </row>
    <row r="1419" spans="1:25">
      <c r="A1419" s="1" t="s">
        <v>1488</v>
      </c>
      <c r="B1419" t="s">
        <v>90</v>
      </c>
      <c r="C1419" t="s">
        <v>78</v>
      </c>
      <c r="D1419" t="s">
        <v>44</v>
      </c>
      <c r="E1419" t="s">
        <v>102</v>
      </c>
      <c r="F1419" t="s">
        <v>76</v>
      </c>
      <c r="G1419" t="s">
        <v>60</v>
      </c>
      <c r="H1419" t="s">
        <v>32</v>
      </c>
      <c r="I1419" t="s">
        <v>41</v>
      </c>
      <c r="J1419" s="2">
        <v>45448</v>
      </c>
      <c r="K1419" s="2">
        <v>45449</v>
      </c>
      <c r="L1419" s="2">
        <v>45458</v>
      </c>
      <c r="M1419" s="2">
        <v>45463</v>
      </c>
      <c r="N1419" s="2">
        <v>45483</v>
      </c>
      <c r="O1419">
        <v>1</v>
      </c>
      <c r="P1419">
        <v>1</v>
      </c>
      <c r="Q1419">
        <v>1</v>
      </c>
      <c r="R1419">
        <v>0</v>
      </c>
      <c r="S1419">
        <v>0</v>
      </c>
      <c r="T1419" t="s">
        <v>49</v>
      </c>
      <c r="U1419">
        <v>68</v>
      </c>
      <c r="W1419">
        <v>6</v>
      </c>
      <c r="X1419">
        <v>1695802</v>
      </c>
      <c r="Y1419" t="s">
        <v>68</v>
      </c>
    </row>
    <row r="1420" spans="1:25">
      <c r="A1420" s="1" t="s">
        <v>1489</v>
      </c>
      <c r="B1420" t="s">
        <v>26</v>
      </c>
      <c r="C1420" t="s">
        <v>78</v>
      </c>
      <c r="D1420" t="s">
        <v>59</v>
      </c>
      <c r="E1420" t="s">
        <v>63</v>
      </c>
      <c r="F1420" t="s">
        <v>76</v>
      </c>
      <c r="G1420" t="s">
        <v>31</v>
      </c>
      <c r="H1420" t="s">
        <v>56</v>
      </c>
      <c r="I1420" t="s">
        <v>41</v>
      </c>
      <c r="J1420" s="2">
        <v>45293</v>
      </c>
      <c r="K1420" s="2">
        <v>45298</v>
      </c>
      <c r="L1420" s="2">
        <v>45308</v>
      </c>
      <c r="M1420" s="2">
        <v>45310</v>
      </c>
      <c r="N1420" s="2">
        <v>45306</v>
      </c>
      <c r="O1420">
        <v>1</v>
      </c>
      <c r="P1420">
        <v>1</v>
      </c>
      <c r="Q1420">
        <v>1</v>
      </c>
      <c r="R1420">
        <v>0</v>
      </c>
      <c r="S1420">
        <v>0</v>
      </c>
      <c r="T1420" t="s">
        <v>49</v>
      </c>
      <c r="U1420">
        <v>94</v>
      </c>
      <c r="W1420">
        <v>7</v>
      </c>
      <c r="X1420">
        <v>1556204</v>
      </c>
      <c r="Y1420" t="s">
        <v>68</v>
      </c>
    </row>
    <row r="1421" spans="1:25">
      <c r="A1421" s="1" t="s">
        <v>1490</v>
      </c>
      <c r="B1421" t="s">
        <v>43</v>
      </c>
      <c r="C1421" t="s">
        <v>78</v>
      </c>
      <c r="D1421" t="s">
        <v>44</v>
      </c>
      <c r="E1421" t="s">
        <v>102</v>
      </c>
      <c r="F1421" t="s">
        <v>76</v>
      </c>
      <c r="G1421" t="s">
        <v>45</v>
      </c>
      <c r="H1421" t="s">
        <v>56</v>
      </c>
      <c r="I1421" t="s">
        <v>33</v>
      </c>
      <c r="J1421" s="2">
        <v>44981</v>
      </c>
      <c r="K1421" s="2">
        <v>44986</v>
      </c>
      <c r="L1421" s="2">
        <v>44994</v>
      </c>
      <c r="M1421" s="2">
        <v>44998</v>
      </c>
      <c r="N1421" s="2">
        <v>45005</v>
      </c>
      <c r="O1421">
        <v>1</v>
      </c>
      <c r="P1421">
        <v>1</v>
      </c>
      <c r="Q1421">
        <v>0</v>
      </c>
      <c r="R1421">
        <v>0</v>
      </c>
      <c r="S1421">
        <v>0</v>
      </c>
      <c r="T1421" t="s">
        <v>34</v>
      </c>
      <c r="U1421">
        <v>50</v>
      </c>
      <c r="W1421">
        <v>10</v>
      </c>
    </row>
    <row r="1422" spans="1:25">
      <c r="A1422" s="1" t="s">
        <v>1491</v>
      </c>
      <c r="B1422" t="s">
        <v>36</v>
      </c>
      <c r="C1422" t="s">
        <v>37</v>
      </c>
      <c r="D1422" t="s">
        <v>52</v>
      </c>
      <c r="E1422" t="s">
        <v>63</v>
      </c>
      <c r="F1422" t="s">
        <v>67</v>
      </c>
      <c r="G1422" t="s">
        <v>60</v>
      </c>
      <c r="H1422" t="s">
        <v>40</v>
      </c>
      <c r="I1422" t="s">
        <v>41</v>
      </c>
      <c r="J1422" s="2">
        <v>45313</v>
      </c>
      <c r="K1422" s="2">
        <v>45318</v>
      </c>
      <c r="L1422" s="2">
        <v>45324</v>
      </c>
      <c r="M1422" s="2">
        <v>45331</v>
      </c>
      <c r="N1422" s="2">
        <v>45337</v>
      </c>
      <c r="O1422">
        <v>1</v>
      </c>
      <c r="P1422">
        <v>1</v>
      </c>
      <c r="Q1422">
        <v>1</v>
      </c>
      <c r="R1422">
        <v>0</v>
      </c>
      <c r="S1422">
        <v>0</v>
      </c>
      <c r="T1422" t="s">
        <v>49</v>
      </c>
      <c r="U1422">
        <v>58</v>
      </c>
      <c r="W1422">
        <v>1</v>
      </c>
      <c r="X1422">
        <v>548194</v>
      </c>
      <c r="Y1422" t="s">
        <v>68</v>
      </c>
    </row>
    <row r="1423" spans="1:25">
      <c r="A1423" s="1" t="s">
        <v>1492</v>
      </c>
      <c r="B1423" t="s">
        <v>58</v>
      </c>
      <c r="C1423" t="s">
        <v>78</v>
      </c>
      <c r="D1423" t="s">
        <v>52</v>
      </c>
      <c r="E1423" t="s">
        <v>54</v>
      </c>
      <c r="F1423" t="s">
        <v>76</v>
      </c>
      <c r="G1423" t="s">
        <v>39</v>
      </c>
      <c r="H1423" t="s">
        <v>40</v>
      </c>
      <c r="I1423" t="s">
        <v>41</v>
      </c>
      <c r="J1423" s="2">
        <v>45271</v>
      </c>
      <c r="K1423" s="2">
        <v>45275</v>
      </c>
      <c r="L1423" s="2">
        <v>45278</v>
      </c>
      <c r="M1423" s="2">
        <v>45280</v>
      </c>
      <c r="N1423" s="2">
        <v>45282</v>
      </c>
      <c r="O1423">
        <v>1</v>
      </c>
      <c r="P1423">
        <v>1</v>
      </c>
      <c r="Q1423">
        <v>0</v>
      </c>
      <c r="R1423">
        <v>0</v>
      </c>
      <c r="S1423">
        <v>0</v>
      </c>
      <c r="T1423" t="s">
        <v>34</v>
      </c>
      <c r="U1423">
        <v>76</v>
      </c>
      <c r="W1423">
        <v>6</v>
      </c>
    </row>
    <row r="1424" spans="1:25">
      <c r="A1424" s="1" t="s">
        <v>1493</v>
      </c>
      <c r="B1424" t="s">
        <v>70</v>
      </c>
      <c r="C1424" t="s">
        <v>27</v>
      </c>
      <c r="D1424" t="s">
        <v>44</v>
      </c>
      <c r="E1424" t="s">
        <v>54</v>
      </c>
      <c r="F1424" t="s">
        <v>76</v>
      </c>
      <c r="G1424" t="s">
        <v>55</v>
      </c>
      <c r="H1424" t="s">
        <v>40</v>
      </c>
      <c r="I1424" t="s">
        <v>33</v>
      </c>
      <c r="J1424" s="2">
        <v>45092</v>
      </c>
      <c r="K1424" s="2">
        <v>45095</v>
      </c>
      <c r="L1424" s="2">
        <v>45103</v>
      </c>
      <c r="M1424" s="2">
        <v>45109</v>
      </c>
      <c r="N1424" s="2">
        <v>45130</v>
      </c>
      <c r="O1424">
        <v>1</v>
      </c>
      <c r="P1424">
        <v>1</v>
      </c>
      <c r="Q1424">
        <v>1</v>
      </c>
      <c r="R1424">
        <v>0</v>
      </c>
      <c r="S1424">
        <v>0</v>
      </c>
      <c r="T1424" t="s">
        <v>49</v>
      </c>
      <c r="U1424">
        <v>94</v>
      </c>
      <c r="W1424">
        <v>0</v>
      </c>
      <c r="X1424">
        <v>678107</v>
      </c>
      <c r="Y1424" t="s">
        <v>80</v>
      </c>
    </row>
    <row r="1425" spans="1:24">
      <c r="A1425" s="1" t="s">
        <v>1494</v>
      </c>
      <c r="B1425" t="s">
        <v>70</v>
      </c>
      <c r="C1425" t="s">
        <v>27</v>
      </c>
      <c r="D1425" t="s">
        <v>59</v>
      </c>
      <c r="E1425" t="s">
        <v>66</v>
      </c>
      <c r="F1425" t="s">
        <v>67</v>
      </c>
      <c r="G1425" t="s">
        <v>60</v>
      </c>
      <c r="H1425" t="s">
        <v>56</v>
      </c>
      <c r="I1425" t="s">
        <v>41</v>
      </c>
      <c r="J1425" s="2">
        <v>45170</v>
      </c>
      <c r="K1425" s="2">
        <v>45173</v>
      </c>
      <c r="L1425" s="2">
        <v>45182</v>
      </c>
      <c r="M1425" s="2">
        <v>45189</v>
      </c>
      <c r="N1425" s="2">
        <v>45206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74</v>
      </c>
      <c r="U1425">
        <v>61</v>
      </c>
      <c r="W1425">
        <v>2</v>
      </c>
    </row>
    <row r="1426" spans="1:24">
      <c r="A1426" s="1" t="s">
        <v>1495</v>
      </c>
      <c r="B1426" t="s">
        <v>26</v>
      </c>
      <c r="C1426" t="s">
        <v>47</v>
      </c>
      <c r="D1426" t="s">
        <v>73</v>
      </c>
      <c r="E1426" t="s">
        <v>66</v>
      </c>
      <c r="F1426" t="s">
        <v>64</v>
      </c>
      <c r="G1426" t="s">
        <v>31</v>
      </c>
      <c r="H1426" t="s">
        <v>56</v>
      </c>
      <c r="I1426" t="s">
        <v>33</v>
      </c>
      <c r="J1426" s="2">
        <v>44930</v>
      </c>
      <c r="K1426" s="2">
        <v>44933</v>
      </c>
      <c r="L1426" s="2">
        <v>44940</v>
      </c>
      <c r="M1426" s="2">
        <v>44944</v>
      </c>
      <c r="N1426" s="2">
        <v>44947</v>
      </c>
      <c r="O1426">
        <v>1</v>
      </c>
      <c r="P1426">
        <v>1</v>
      </c>
      <c r="Q1426">
        <v>0</v>
      </c>
      <c r="R1426">
        <v>0</v>
      </c>
      <c r="S1426">
        <v>0</v>
      </c>
      <c r="T1426" t="s">
        <v>34</v>
      </c>
      <c r="U1426">
        <v>83</v>
      </c>
      <c r="W1426">
        <v>15</v>
      </c>
    </row>
    <row r="1427" spans="1:24">
      <c r="A1427" s="1" t="s">
        <v>1496</v>
      </c>
      <c r="B1427" t="s">
        <v>58</v>
      </c>
      <c r="C1427" t="s">
        <v>37</v>
      </c>
      <c r="D1427" t="s">
        <v>44</v>
      </c>
      <c r="E1427" t="s">
        <v>66</v>
      </c>
      <c r="F1427" t="s">
        <v>38</v>
      </c>
      <c r="G1427" t="s">
        <v>31</v>
      </c>
      <c r="H1427" t="s">
        <v>32</v>
      </c>
      <c r="I1427" t="s">
        <v>41</v>
      </c>
      <c r="J1427" s="2">
        <v>45454</v>
      </c>
      <c r="K1427" s="2">
        <v>45459</v>
      </c>
      <c r="L1427" s="2">
        <v>45468</v>
      </c>
      <c r="M1427" s="2">
        <v>45470</v>
      </c>
      <c r="N1427" s="2">
        <v>45469</v>
      </c>
      <c r="O1427">
        <v>1</v>
      </c>
      <c r="P1427">
        <v>1</v>
      </c>
      <c r="Q1427">
        <v>1</v>
      </c>
      <c r="R1427">
        <v>1</v>
      </c>
      <c r="S1427">
        <v>0</v>
      </c>
      <c r="T1427" t="s">
        <v>61</v>
      </c>
      <c r="U1427">
        <v>80</v>
      </c>
      <c r="V1427">
        <v>15</v>
      </c>
      <c r="W1427">
        <v>1</v>
      </c>
      <c r="X1427">
        <v>708438</v>
      </c>
    </row>
    <row r="1428" spans="1:24">
      <c r="A1428" s="1" t="s">
        <v>1497</v>
      </c>
      <c r="B1428" t="s">
        <v>36</v>
      </c>
      <c r="C1428" t="s">
        <v>78</v>
      </c>
      <c r="D1428" t="s">
        <v>59</v>
      </c>
      <c r="E1428" t="s">
        <v>66</v>
      </c>
      <c r="F1428" t="s">
        <v>48</v>
      </c>
      <c r="G1428" t="s">
        <v>45</v>
      </c>
      <c r="H1428" t="s">
        <v>56</v>
      </c>
      <c r="I1428" t="s">
        <v>41</v>
      </c>
      <c r="J1428" s="2">
        <v>45052</v>
      </c>
      <c r="K1428" s="2">
        <v>45056</v>
      </c>
      <c r="L1428" s="2">
        <v>45063</v>
      </c>
      <c r="M1428" s="2">
        <v>45066</v>
      </c>
      <c r="N1428" s="2">
        <v>45081</v>
      </c>
      <c r="O1428">
        <v>1</v>
      </c>
      <c r="P1428">
        <v>1</v>
      </c>
      <c r="Q1428">
        <v>1</v>
      </c>
      <c r="R1428">
        <v>1</v>
      </c>
      <c r="S1428">
        <v>0</v>
      </c>
      <c r="T1428" t="s">
        <v>61</v>
      </c>
      <c r="U1428">
        <v>51</v>
      </c>
      <c r="V1428">
        <v>29</v>
      </c>
      <c r="W1428">
        <v>6</v>
      </c>
      <c r="X1428">
        <v>1592067</v>
      </c>
    </row>
    <row r="1429" spans="1:24">
      <c r="A1429" s="1" t="s">
        <v>1498</v>
      </c>
      <c r="B1429" t="s">
        <v>70</v>
      </c>
      <c r="C1429" t="s">
        <v>27</v>
      </c>
      <c r="D1429" t="s">
        <v>73</v>
      </c>
      <c r="E1429" t="s">
        <v>54</v>
      </c>
      <c r="F1429" t="s">
        <v>38</v>
      </c>
      <c r="G1429" t="s">
        <v>60</v>
      </c>
      <c r="H1429" t="s">
        <v>32</v>
      </c>
      <c r="I1429" t="s">
        <v>33</v>
      </c>
      <c r="J1429" s="2">
        <v>45069</v>
      </c>
      <c r="K1429" s="2">
        <v>45071</v>
      </c>
      <c r="L1429" s="2">
        <v>45075</v>
      </c>
      <c r="M1429" s="2">
        <v>45082</v>
      </c>
      <c r="N1429" s="2">
        <v>45091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74</v>
      </c>
      <c r="U1429">
        <v>63</v>
      </c>
      <c r="W1429">
        <v>2</v>
      </c>
    </row>
    <row r="1430" spans="1:24">
      <c r="A1430" s="1" t="s">
        <v>1499</v>
      </c>
      <c r="B1430" t="s">
        <v>90</v>
      </c>
      <c r="C1430" t="s">
        <v>37</v>
      </c>
      <c r="D1430" t="s">
        <v>44</v>
      </c>
      <c r="E1430" t="s">
        <v>54</v>
      </c>
      <c r="F1430" t="s">
        <v>30</v>
      </c>
      <c r="G1430" t="s">
        <v>55</v>
      </c>
      <c r="H1430" t="s">
        <v>56</v>
      </c>
      <c r="I1430" t="s">
        <v>33</v>
      </c>
      <c r="J1430" s="2">
        <v>45064</v>
      </c>
      <c r="K1430" s="2">
        <v>45067</v>
      </c>
      <c r="L1430" s="2">
        <v>45074</v>
      </c>
      <c r="M1430" s="2">
        <v>45081</v>
      </c>
      <c r="N1430" s="2">
        <v>45084</v>
      </c>
      <c r="O1430">
        <v>1</v>
      </c>
      <c r="P1430">
        <v>1</v>
      </c>
      <c r="Q1430">
        <v>1</v>
      </c>
      <c r="R1430">
        <v>1</v>
      </c>
      <c r="S1430">
        <v>0</v>
      </c>
      <c r="T1430" t="s">
        <v>61</v>
      </c>
      <c r="U1430">
        <v>99</v>
      </c>
      <c r="V1430">
        <v>20</v>
      </c>
      <c r="W1430">
        <v>2</v>
      </c>
      <c r="X1430">
        <v>748321</v>
      </c>
    </row>
    <row r="1431" spans="1:24">
      <c r="A1431" s="1" t="s">
        <v>1500</v>
      </c>
      <c r="B1431" t="s">
        <v>70</v>
      </c>
      <c r="C1431" t="s">
        <v>47</v>
      </c>
      <c r="D1431" t="s">
        <v>44</v>
      </c>
      <c r="E1431" t="s">
        <v>29</v>
      </c>
      <c r="F1431" t="s">
        <v>38</v>
      </c>
      <c r="G1431" t="s">
        <v>31</v>
      </c>
      <c r="H1431" t="s">
        <v>32</v>
      </c>
      <c r="I1431" t="s">
        <v>33</v>
      </c>
      <c r="J1431" s="2">
        <v>45337</v>
      </c>
      <c r="K1431" s="2">
        <v>45339</v>
      </c>
      <c r="L1431" s="2">
        <v>45346</v>
      </c>
      <c r="M1431" s="2">
        <v>45351</v>
      </c>
      <c r="N1431" s="2">
        <v>45362</v>
      </c>
      <c r="O1431">
        <v>1</v>
      </c>
      <c r="P1431">
        <v>1</v>
      </c>
      <c r="Q1431">
        <v>0</v>
      </c>
      <c r="R1431">
        <v>0</v>
      </c>
      <c r="S1431">
        <v>0</v>
      </c>
      <c r="T1431" t="s">
        <v>34</v>
      </c>
      <c r="U1431">
        <v>97</v>
      </c>
      <c r="W1431">
        <v>10</v>
      </c>
    </row>
    <row r="1432" spans="1:24">
      <c r="A1432" s="1" t="s">
        <v>1501</v>
      </c>
      <c r="B1432" t="s">
        <v>36</v>
      </c>
      <c r="C1432" t="s">
        <v>47</v>
      </c>
      <c r="D1432" t="s">
        <v>44</v>
      </c>
      <c r="E1432" t="s">
        <v>66</v>
      </c>
      <c r="F1432" t="s">
        <v>38</v>
      </c>
      <c r="G1432" t="s">
        <v>39</v>
      </c>
      <c r="H1432" t="s">
        <v>32</v>
      </c>
      <c r="I1432" t="s">
        <v>33</v>
      </c>
      <c r="J1432" s="2">
        <v>45457</v>
      </c>
      <c r="K1432" s="2">
        <v>45460</v>
      </c>
      <c r="L1432" s="2">
        <v>45466</v>
      </c>
      <c r="M1432" s="2">
        <v>45472</v>
      </c>
      <c r="N1432" s="2">
        <v>45475</v>
      </c>
      <c r="O1432">
        <v>1</v>
      </c>
      <c r="P1432">
        <v>1</v>
      </c>
      <c r="Q1432">
        <v>0</v>
      </c>
      <c r="R1432">
        <v>0</v>
      </c>
      <c r="S1432">
        <v>0</v>
      </c>
      <c r="T1432" t="s">
        <v>34</v>
      </c>
      <c r="U1432">
        <v>56</v>
      </c>
      <c r="W1432">
        <v>11</v>
      </c>
    </row>
    <row r="1433" spans="1:24">
      <c r="A1433" s="1" t="s">
        <v>1502</v>
      </c>
      <c r="B1433" t="s">
        <v>26</v>
      </c>
      <c r="C1433" t="s">
        <v>47</v>
      </c>
      <c r="D1433" t="s">
        <v>52</v>
      </c>
      <c r="E1433" t="s">
        <v>29</v>
      </c>
      <c r="F1433" t="s">
        <v>76</v>
      </c>
      <c r="G1433" t="s">
        <v>39</v>
      </c>
      <c r="H1433" t="s">
        <v>40</v>
      </c>
      <c r="I1433" t="s">
        <v>33</v>
      </c>
      <c r="J1433" s="2">
        <v>45304</v>
      </c>
      <c r="K1433" s="2">
        <v>45308</v>
      </c>
      <c r="L1433" s="2">
        <v>45316</v>
      </c>
      <c r="M1433" s="2">
        <v>45321</v>
      </c>
      <c r="N1433" s="2">
        <v>45328</v>
      </c>
      <c r="O1433">
        <v>1</v>
      </c>
      <c r="P1433">
        <v>1</v>
      </c>
      <c r="Q1433">
        <v>0</v>
      </c>
      <c r="R1433">
        <v>0</v>
      </c>
      <c r="S1433">
        <v>0</v>
      </c>
      <c r="T1433" t="s">
        <v>34</v>
      </c>
      <c r="U1433">
        <v>65</v>
      </c>
      <c r="W1433">
        <v>11</v>
      </c>
    </row>
    <row r="1434" spans="1:24">
      <c r="A1434" s="1" t="s">
        <v>1503</v>
      </c>
      <c r="B1434" t="s">
        <v>43</v>
      </c>
      <c r="C1434" t="s">
        <v>27</v>
      </c>
      <c r="D1434" t="s">
        <v>44</v>
      </c>
      <c r="E1434" t="s">
        <v>54</v>
      </c>
      <c r="F1434" t="s">
        <v>76</v>
      </c>
      <c r="G1434" t="s">
        <v>39</v>
      </c>
      <c r="H1434" t="s">
        <v>32</v>
      </c>
      <c r="I1434" t="s">
        <v>41</v>
      </c>
      <c r="J1434" s="2">
        <v>45050</v>
      </c>
      <c r="K1434" s="2">
        <v>45055</v>
      </c>
      <c r="L1434" s="2">
        <v>45059</v>
      </c>
      <c r="M1434" s="2">
        <v>45066</v>
      </c>
      <c r="N1434" s="2">
        <v>45074</v>
      </c>
      <c r="O1434">
        <v>1</v>
      </c>
      <c r="P1434">
        <v>1</v>
      </c>
      <c r="Q1434">
        <v>1</v>
      </c>
      <c r="R1434">
        <v>1</v>
      </c>
      <c r="S1434">
        <v>0</v>
      </c>
      <c r="T1434" t="s">
        <v>61</v>
      </c>
      <c r="U1434">
        <v>75</v>
      </c>
      <c r="V1434">
        <v>24</v>
      </c>
      <c r="W1434">
        <v>2</v>
      </c>
      <c r="X1434">
        <v>549743</v>
      </c>
    </row>
    <row r="1435" spans="1:24">
      <c r="A1435" s="1" t="s">
        <v>1504</v>
      </c>
      <c r="B1435" t="s">
        <v>43</v>
      </c>
      <c r="C1435" t="s">
        <v>78</v>
      </c>
      <c r="D1435" t="s">
        <v>59</v>
      </c>
      <c r="E1435" t="s">
        <v>29</v>
      </c>
      <c r="F1435" t="s">
        <v>48</v>
      </c>
      <c r="G1435" t="s">
        <v>55</v>
      </c>
      <c r="H1435" t="s">
        <v>40</v>
      </c>
      <c r="I1435" t="s">
        <v>33</v>
      </c>
      <c r="J1435" s="2">
        <v>45010</v>
      </c>
      <c r="K1435" s="2">
        <v>45015</v>
      </c>
      <c r="L1435" s="2">
        <v>45022</v>
      </c>
      <c r="M1435" s="2">
        <v>45027</v>
      </c>
      <c r="N1435" s="2">
        <v>45026</v>
      </c>
      <c r="O1435">
        <v>1</v>
      </c>
      <c r="P1435">
        <v>1</v>
      </c>
      <c r="Q1435">
        <v>1</v>
      </c>
      <c r="R1435">
        <v>1</v>
      </c>
      <c r="S1435">
        <v>0</v>
      </c>
      <c r="T1435" t="s">
        <v>61</v>
      </c>
      <c r="U1435">
        <v>92</v>
      </c>
      <c r="V1435">
        <v>16</v>
      </c>
      <c r="W1435">
        <v>8</v>
      </c>
      <c r="X1435">
        <v>1764796</v>
      </c>
    </row>
    <row r="1436" spans="1:24">
      <c r="A1436" s="1" t="s">
        <v>1505</v>
      </c>
      <c r="B1436" t="s">
        <v>90</v>
      </c>
      <c r="C1436" t="s">
        <v>71</v>
      </c>
      <c r="D1436" t="s">
        <v>73</v>
      </c>
      <c r="E1436" t="s">
        <v>54</v>
      </c>
      <c r="F1436" t="s">
        <v>30</v>
      </c>
      <c r="G1436" t="s">
        <v>60</v>
      </c>
      <c r="H1436" t="s">
        <v>56</v>
      </c>
      <c r="I1436" t="s">
        <v>33</v>
      </c>
      <c r="J1436" s="2">
        <v>44985</v>
      </c>
      <c r="K1436" s="2">
        <v>44986</v>
      </c>
      <c r="L1436" s="2">
        <v>44994</v>
      </c>
      <c r="M1436" s="2">
        <v>44998</v>
      </c>
      <c r="N1436" s="2">
        <v>45003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74</v>
      </c>
      <c r="U1436">
        <v>56</v>
      </c>
      <c r="W1436">
        <v>7</v>
      </c>
    </row>
    <row r="1437" spans="1:24">
      <c r="A1437" s="1" t="s">
        <v>1506</v>
      </c>
      <c r="B1437" t="s">
        <v>26</v>
      </c>
      <c r="C1437" t="s">
        <v>47</v>
      </c>
      <c r="D1437" t="s">
        <v>52</v>
      </c>
      <c r="E1437" t="s">
        <v>29</v>
      </c>
      <c r="F1437" t="s">
        <v>64</v>
      </c>
      <c r="G1437" t="s">
        <v>60</v>
      </c>
      <c r="H1437" t="s">
        <v>32</v>
      </c>
      <c r="I1437" t="s">
        <v>33</v>
      </c>
      <c r="J1437" s="2">
        <v>45116</v>
      </c>
      <c r="K1437" s="2">
        <v>45118</v>
      </c>
      <c r="L1437" s="2">
        <v>45122</v>
      </c>
      <c r="M1437" s="2">
        <v>45126</v>
      </c>
      <c r="N1437" s="2">
        <v>45136</v>
      </c>
      <c r="O1437">
        <v>1</v>
      </c>
      <c r="P1437">
        <v>1</v>
      </c>
      <c r="Q1437">
        <v>0</v>
      </c>
      <c r="R1437">
        <v>0</v>
      </c>
      <c r="S1437">
        <v>0</v>
      </c>
      <c r="T1437" t="s">
        <v>34</v>
      </c>
      <c r="U1437">
        <v>93</v>
      </c>
      <c r="W1437">
        <v>15</v>
      </c>
    </row>
    <row r="1438" spans="1:24">
      <c r="A1438" s="1" t="s">
        <v>1507</v>
      </c>
      <c r="B1438" t="s">
        <v>26</v>
      </c>
      <c r="C1438" t="s">
        <v>47</v>
      </c>
      <c r="D1438" t="s">
        <v>59</v>
      </c>
      <c r="E1438" t="s">
        <v>29</v>
      </c>
      <c r="F1438" t="s">
        <v>67</v>
      </c>
      <c r="G1438" t="s">
        <v>60</v>
      </c>
      <c r="H1438" t="s">
        <v>40</v>
      </c>
      <c r="I1438" t="s">
        <v>41</v>
      </c>
      <c r="J1438" s="2">
        <v>44971</v>
      </c>
      <c r="K1438" s="2">
        <v>44976</v>
      </c>
      <c r="L1438" s="2">
        <v>44982</v>
      </c>
      <c r="M1438" s="2">
        <v>44987</v>
      </c>
      <c r="N1438" s="2">
        <v>44984</v>
      </c>
      <c r="O1438">
        <v>0</v>
      </c>
      <c r="P1438">
        <v>0</v>
      </c>
      <c r="Q1438">
        <v>0</v>
      </c>
      <c r="R1438">
        <v>0</v>
      </c>
      <c r="S1438">
        <v>0</v>
      </c>
      <c r="T1438" t="s">
        <v>74</v>
      </c>
      <c r="U1438">
        <v>51</v>
      </c>
      <c r="W1438">
        <v>11</v>
      </c>
    </row>
    <row r="1439" spans="1:24">
      <c r="A1439" s="1" t="s">
        <v>1508</v>
      </c>
      <c r="B1439" t="s">
        <v>70</v>
      </c>
      <c r="C1439" t="s">
        <v>37</v>
      </c>
      <c r="D1439" t="s">
        <v>44</v>
      </c>
      <c r="E1439" t="s">
        <v>63</v>
      </c>
      <c r="F1439" t="s">
        <v>67</v>
      </c>
      <c r="G1439" t="s">
        <v>55</v>
      </c>
      <c r="H1439" t="s">
        <v>56</v>
      </c>
      <c r="I1439" t="s">
        <v>33</v>
      </c>
      <c r="J1439" s="2">
        <v>45177</v>
      </c>
      <c r="K1439" s="2">
        <v>45180</v>
      </c>
      <c r="L1439" s="2">
        <v>45184</v>
      </c>
      <c r="M1439" s="2">
        <v>45189</v>
      </c>
      <c r="N1439" s="2">
        <v>45208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74</v>
      </c>
      <c r="U1439">
        <v>70</v>
      </c>
      <c r="W1439">
        <v>3</v>
      </c>
    </row>
    <row r="1440" spans="1:24">
      <c r="A1440" s="1" t="s">
        <v>1509</v>
      </c>
      <c r="B1440" t="s">
        <v>70</v>
      </c>
      <c r="C1440" t="s">
        <v>47</v>
      </c>
      <c r="D1440" t="s">
        <v>59</v>
      </c>
      <c r="E1440" t="s">
        <v>29</v>
      </c>
      <c r="F1440" t="s">
        <v>67</v>
      </c>
      <c r="G1440" t="s">
        <v>45</v>
      </c>
      <c r="H1440" t="s">
        <v>32</v>
      </c>
      <c r="I1440" t="s">
        <v>33</v>
      </c>
      <c r="J1440" s="2">
        <v>45020</v>
      </c>
      <c r="K1440" s="2">
        <v>45022</v>
      </c>
      <c r="L1440" s="2">
        <v>45030</v>
      </c>
      <c r="M1440" s="2">
        <v>45032</v>
      </c>
      <c r="N1440" s="2">
        <v>45050</v>
      </c>
      <c r="O1440">
        <v>1</v>
      </c>
      <c r="P1440">
        <v>1</v>
      </c>
      <c r="Q1440">
        <v>1</v>
      </c>
      <c r="R1440">
        <v>1</v>
      </c>
      <c r="S1440">
        <v>0</v>
      </c>
      <c r="T1440" t="s">
        <v>61</v>
      </c>
      <c r="U1440">
        <v>68</v>
      </c>
      <c r="V1440">
        <v>30</v>
      </c>
      <c r="W1440">
        <v>14</v>
      </c>
      <c r="X1440">
        <v>2738437</v>
      </c>
    </row>
    <row r="1441" spans="1:25">
      <c r="A1441" s="1" t="s">
        <v>1510</v>
      </c>
      <c r="B1441" t="s">
        <v>43</v>
      </c>
      <c r="C1441" t="s">
        <v>71</v>
      </c>
      <c r="D1441" t="s">
        <v>44</v>
      </c>
      <c r="E1441" t="s">
        <v>63</v>
      </c>
      <c r="F1441" t="s">
        <v>30</v>
      </c>
      <c r="G1441" t="s">
        <v>45</v>
      </c>
      <c r="H1441" t="s">
        <v>56</v>
      </c>
      <c r="I1441" t="s">
        <v>41</v>
      </c>
      <c r="J1441" s="2">
        <v>45064</v>
      </c>
      <c r="K1441" s="2">
        <v>45067</v>
      </c>
      <c r="L1441" s="2">
        <v>45073</v>
      </c>
      <c r="M1441" s="2">
        <v>45076</v>
      </c>
      <c r="N1441" s="2">
        <v>45084</v>
      </c>
      <c r="O1441">
        <v>1</v>
      </c>
      <c r="P1441">
        <v>1</v>
      </c>
      <c r="Q1441">
        <v>1</v>
      </c>
      <c r="R1441">
        <v>1</v>
      </c>
      <c r="S1441">
        <v>0</v>
      </c>
      <c r="T1441" t="s">
        <v>61</v>
      </c>
      <c r="U1441">
        <v>53</v>
      </c>
      <c r="V1441">
        <v>20</v>
      </c>
      <c r="W1441">
        <v>4</v>
      </c>
      <c r="X1441">
        <v>923375</v>
      </c>
    </row>
    <row r="1442" spans="1:25">
      <c r="A1442" s="1" t="s">
        <v>1511</v>
      </c>
      <c r="B1442" t="s">
        <v>70</v>
      </c>
      <c r="C1442" t="s">
        <v>37</v>
      </c>
      <c r="D1442" t="s">
        <v>52</v>
      </c>
      <c r="E1442" t="s">
        <v>29</v>
      </c>
      <c r="F1442" t="s">
        <v>48</v>
      </c>
      <c r="G1442" t="s">
        <v>39</v>
      </c>
      <c r="H1442" t="s">
        <v>40</v>
      </c>
      <c r="I1442" t="s">
        <v>33</v>
      </c>
      <c r="J1442" s="2">
        <v>45128</v>
      </c>
      <c r="K1442" s="2">
        <v>45133</v>
      </c>
      <c r="L1442" s="2">
        <v>45140</v>
      </c>
      <c r="M1442" s="2">
        <v>45144</v>
      </c>
      <c r="N1442" s="2">
        <v>45166</v>
      </c>
      <c r="O1442">
        <v>1</v>
      </c>
      <c r="P1442">
        <v>0</v>
      </c>
      <c r="Q1442">
        <v>0</v>
      </c>
      <c r="R1442">
        <v>0</v>
      </c>
      <c r="S1442">
        <v>0</v>
      </c>
      <c r="T1442" t="s">
        <v>34</v>
      </c>
      <c r="U1442">
        <v>65</v>
      </c>
      <c r="W1442">
        <v>3</v>
      </c>
    </row>
    <row r="1443" spans="1:25">
      <c r="A1443" s="1" t="s">
        <v>1512</v>
      </c>
      <c r="B1443" t="s">
        <v>26</v>
      </c>
      <c r="C1443" t="s">
        <v>71</v>
      </c>
      <c r="D1443" t="s">
        <v>73</v>
      </c>
      <c r="E1443" t="s">
        <v>102</v>
      </c>
      <c r="F1443" t="s">
        <v>30</v>
      </c>
      <c r="G1443" t="s">
        <v>45</v>
      </c>
      <c r="H1443" t="s">
        <v>32</v>
      </c>
      <c r="I1443" t="s">
        <v>41</v>
      </c>
      <c r="J1443" s="2">
        <v>44988</v>
      </c>
      <c r="K1443" s="2">
        <v>44989</v>
      </c>
      <c r="L1443" s="2">
        <v>44999</v>
      </c>
      <c r="M1443" s="2">
        <v>45005</v>
      </c>
      <c r="N1443" s="2">
        <v>45002</v>
      </c>
      <c r="O1443">
        <v>0</v>
      </c>
      <c r="P1443">
        <v>0</v>
      </c>
      <c r="Q1443">
        <v>0</v>
      </c>
      <c r="R1443">
        <v>0</v>
      </c>
      <c r="S1443">
        <v>0</v>
      </c>
      <c r="T1443" t="s">
        <v>74</v>
      </c>
      <c r="U1443">
        <v>52</v>
      </c>
      <c r="W1443">
        <v>6</v>
      </c>
    </row>
    <row r="1444" spans="1:25">
      <c r="A1444" s="1" t="s">
        <v>1513</v>
      </c>
      <c r="B1444" t="s">
        <v>90</v>
      </c>
      <c r="C1444" t="s">
        <v>47</v>
      </c>
      <c r="D1444" t="s">
        <v>59</v>
      </c>
      <c r="E1444" t="s">
        <v>66</v>
      </c>
      <c r="F1444" t="s">
        <v>76</v>
      </c>
      <c r="G1444" t="s">
        <v>39</v>
      </c>
      <c r="H1444" t="s">
        <v>56</v>
      </c>
      <c r="I1444" t="s">
        <v>33</v>
      </c>
      <c r="J1444" s="2">
        <v>45209</v>
      </c>
      <c r="K1444" s="2">
        <v>45213</v>
      </c>
      <c r="L1444" s="2">
        <v>45219</v>
      </c>
      <c r="M1444" s="2">
        <v>45226</v>
      </c>
      <c r="N1444" s="2">
        <v>45238</v>
      </c>
      <c r="O1444">
        <v>1</v>
      </c>
      <c r="P1444">
        <v>0</v>
      </c>
      <c r="Q1444">
        <v>0</v>
      </c>
      <c r="R1444">
        <v>0</v>
      </c>
      <c r="S1444">
        <v>0</v>
      </c>
      <c r="T1444" t="s">
        <v>34</v>
      </c>
      <c r="U1444">
        <v>70</v>
      </c>
      <c r="W1444">
        <v>13</v>
      </c>
    </row>
    <row r="1445" spans="1:25">
      <c r="A1445" s="1" t="s">
        <v>1514</v>
      </c>
      <c r="B1445" t="s">
        <v>43</v>
      </c>
      <c r="C1445" t="s">
        <v>27</v>
      </c>
      <c r="D1445" t="s">
        <v>44</v>
      </c>
      <c r="E1445" t="s">
        <v>66</v>
      </c>
      <c r="F1445" t="s">
        <v>64</v>
      </c>
      <c r="G1445" t="s">
        <v>55</v>
      </c>
      <c r="H1445" t="s">
        <v>32</v>
      </c>
      <c r="I1445" t="s">
        <v>33</v>
      </c>
      <c r="J1445" s="2">
        <v>45152</v>
      </c>
      <c r="K1445" s="2">
        <v>45157</v>
      </c>
      <c r="L1445" s="2">
        <v>45167</v>
      </c>
      <c r="M1445" s="2">
        <v>45170</v>
      </c>
      <c r="N1445" s="2">
        <v>45179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74</v>
      </c>
      <c r="U1445">
        <v>80</v>
      </c>
      <c r="W1445">
        <v>1</v>
      </c>
    </row>
    <row r="1446" spans="1:25">
      <c r="A1446" s="1" t="s">
        <v>1515</v>
      </c>
      <c r="B1446" t="s">
        <v>36</v>
      </c>
      <c r="C1446" t="s">
        <v>78</v>
      </c>
      <c r="D1446" t="s">
        <v>28</v>
      </c>
      <c r="E1446" t="s">
        <v>54</v>
      </c>
      <c r="F1446" t="s">
        <v>64</v>
      </c>
      <c r="G1446" t="s">
        <v>39</v>
      </c>
      <c r="H1446" t="s">
        <v>56</v>
      </c>
      <c r="I1446" t="s">
        <v>41</v>
      </c>
      <c r="J1446" s="2">
        <v>45397</v>
      </c>
      <c r="K1446" s="2">
        <v>45400</v>
      </c>
      <c r="L1446" s="2">
        <v>45403</v>
      </c>
      <c r="M1446" s="2">
        <v>45407</v>
      </c>
      <c r="N1446" s="2">
        <v>45416</v>
      </c>
      <c r="O1446">
        <v>1</v>
      </c>
      <c r="P1446">
        <v>1</v>
      </c>
      <c r="Q1446">
        <v>1</v>
      </c>
      <c r="R1446">
        <v>0</v>
      </c>
      <c r="S1446">
        <v>1</v>
      </c>
      <c r="T1446" t="s">
        <v>49</v>
      </c>
      <c r="U1446">
        <v>93</v>
      </c>
      <c r="W1446">
        <v>8</v>
      </c>
      <c r="X1446">
        <v>2026941</v>
      </c>
      <c r="Y1446" t="s">
        <v>87</v>
      </c>
    </row>
    <row r="1447" spans="1:25">
      <c r="A1447" s="1" t="s">
        <v>1516</v>
      </c>
      <c r="B1447" t="s">
        <v>70</v>
      </c>
      <c r="C1447" t="s">
        <v>47</v>
      </c>
      <c r="D1447" t="s">
        <v>44</v>
      </c>
      <c r="E1447" t="s">
        <v>66</v>
      </c>
      <c r="F1447" t="s">
        <v>38</v>
      </c>
      <c r="G1447" t="s">
        <v>55</v>
      </c>
      <c r="H1447" t="s">
        <v>32</v>
      </c>
      <c r="I1447" t="s">
        <v>33</v>
      </c>
      <c r="J1447" s="2">
        <v>45444</v>
      </c>
      <c r="K1447" s="2">
        <v>45446</v>
      </c>
      <c r="L1447" s="2">
        <v>45449</v>
      </c>
      <c r="M1447" s="2">
        <v>45454</v>
      </c>
      <c r="N1447" s="2">
        <v>45478</v>
      </c>
      <c r="O1447">
        <v>1</v>
      </c>
      <c r="P1447">
        <v>1</v>
      </c>
      <c r="Q1447">
        <v>1</v>
      </c>
      <c r="R1447">
        <v>1</v>
      </c>
      <c r="S1447">
        <v>0</v>
      </c>
      <c r="T1447" t="s">
        <v>61</v>
      </c>
      <c r="U1447">
        <v>46</v>
      </c>
      <c r="V1447">
        <v>34</v>
      </c>
      <c r="W1447">
        <v>15</v>
      </c>
      <c r="X1447">
        <v>2492463</v>
      </c>
    </row>
    <row r="1448" spans="1:25">
      <c r="A1448" s="1" t="s">
        <v>1517</v>
      </c>
      <c r="B1448" t="s">
        <v>26</v>
      </c>
      <c r="C1448" t="s">
        <v>47</v>
      </c>
      <c r="D1448" t="s">
        <v>59</v>
      </c>
      <c r="E1448" t="s">
        <v>54</v>
      </c>
      <c r="F1448" t="s">
        <v>67</v>
      </c>
      <c r="G1448" t="s">
        <v>60</v>
      </c>
      <c r="H1448" t="s">
        <v>56</v>
      </c>
      <c r="I1448" t="s">
        <v>41</v>
      </c>
      <c r="J1448" s="2">
        <v>45078</v>
      </c>
      <c r="K1448" s="2">
        <v>45080</v>
      </c>
      <c r="L1448" s="2">
        <v>45086</v>
      </c>
      <c r="M1448" s="2">
        <v>45090</v>
      </c>
      <c r="N1448" s="2">
        <v>45092</v>
      </c>
      <c r="O1448">
        <v>1</v>
      </c>
      <c r="P1448">
        <v>1</v>
      </c>
      <c r="Q1448">
        <v>1</v>
      </c>
      <c r="R1448">
        <v>0</v>
      </c>
      <c r="S1448">
        <v>0</v>
      </c>
      <c r="T1448" t="s">
        <v>49</v>
      </c>
      <c r="U1448">
        <v>55</v>
      </c>
      <c r="W1448">
        <v>14</v>
      </c>
      <c r="X1448">
        <v>3034458</v>
      </c>
      <c r="Y1448" t="s">
        <v>50</v>
      </c>
    </row>
    <row r="1449" spans="1:25">
      <c r="A1449" s="1" t="s">
        <v>1518</v>
      </c>
      <c r="B1449" t="s">
        <v>90</v>
      </c>
      <c r="C1449" t="s">
        <v>71</v>
      </c>
      <c r="D1449" t="s">
        <v>52</v>
      </c>
      <c r="E1449" t="s">
        <v>29</v>
      </c>
      <c r="F1449" t="s">
        <v>30</v>
      </c>
      <c r="G1449" t="s">
        <v>45</v>
      </c>
      <c r="H1449" t="s">
        <v>40</v>
      </c>
      <c r="I1449" t="s">
        <v>33</v>
      </c>
      <c r="J1449" s="2">
        <v>45375</v>
      </c>
      <c r="K1449" s="2">
        <v>45380</v>
      </c>
      <c r="L1449" s="2">
        <v>45384</v>
      </c>
      <c r="M1449" s="2">
        <v>45386</v>
      </c>
      <c r="N1449" s="2">
        <v>45396</v>
      </c>
      <c r="O1449">
        <v>1</v>
      </c>
      <c r="P1449">
        <v>0</v>
      </c>
      <c r="Q1449">
        <v>0</v>
      </c>
      <c r="R1449">
        <v>0</v>
      </c>
      <c r="S1449">
        <v>0</v>
      </c>
      <c r="T1449" t="s">
        <v>34</v>
      </c>
      <c r="U1449">
        <v>95</v>
      </c>
      <c r="W1449">
        <v>6</v>
      </c>
    </row>
    <row r="1450" spans="1:25">
      <c r="A1450" s="1" t="s">
        <v>1519</v>
      </c>
      <c r="B1450" t="s">
        <v>70</v>
      </c>
      <c r="C1450" t="s">
        <v>27</v>
      </c>
      <c r="D1450" t="s">
        <v>52</v>
      </c>
      <c r="E1450" t="s">
        <v>54</v>
      </c>
      <c r="F1450" t="s">
        <v>76</v>
      </c>
      <c r="G1450" t="s">
        <v>45</v>
      </c>
      <c r="H1450" t="s">
        <v>40</v>
      </c>
      <c r="I1450" t="s">
        <v>41</v>
      </c>
      <c r="J1450" s="2">
        <v>45157</v>
      </c>
      <c r="K1450" s="2">
        <v>45162</v>
      </c>
      <c r="L1450" s="2">
        <v>45165</v>
      </c>
      <c r="M1450" s="2">
        <v>45172</v>
      </c>
      <c r="N1450" s="2">
        <v>45190</v>
      </c>
      <c r="O1450">
        <v>1</v>
      </c>
      <c r="P1450">
        <v>1</v>
      </c>
      <c r="Q1450">
        <v>1</v>
      </c>
      <c r="R1450">
        <v>0</v>
      </c>
      <c r="S1450">
        <v>0</v>
      </c>
      <c r="T1450" t="s">
        <v>49</v>
      </c>
      <c r="U1450">
        <v>100</v>
      </c>
      <c r="W1450">
        <v>1</v>
      </c>
      <c r="X1450">
        <v>551519</v>
      </c>
      <c r="Y1450" t="s">
        <v>87</v>
      </c>
    </row>
    <row r="1451" spans="1:25">
      <c r="A1451" s="1" t="s">
        <v>1520</v>
      </c>
      <c r="B1451" t="s">
        <v>70</v>
      </c>
      <c r="C1451" t="s">
        <v>27</v>
      </c>
      <c r="D1451" t="s">
        <v>44</v>
      </c>
      <c r="E1451" t="s">
        <v>66</v>
      </c>
      <c r="F1451" t="s">
        <v>67</v>
      </c>
      <c r="G1451" t="s">
        <v>31</v>
      </c>
      <c r="H1451" t="s">
        <v>40</v>
      </c>
      <c r="I1451" t="s">
        <v>41</v>
      </c>
      <c r="J1451" s="2">
        <v>45056</v>
      </c>
      <c r="K1451" s="2">
        <v>45058</v>
      </c>
      <c r="L1451" s="2">
        <v>45068</v>
      </c>
      <c r="M1451" s="2">
        <v>45072</v>
      </c>
      <c r="N1451" s="2">
        <v>45077</v>
      </c>
      <c r="O1451">
        <v>1</v>
      </c>
      <c r="P1451">
        <v>0</v>
      </c>
      <c r="Q1451">
        <v>0</v>
      </c>
      <c r="R1451">
        <v>0</v>
      </c>
      <c r="S1451">
        <v>0</v>
      </c>
      <c r="T1451" t="s">
        <v>34</v>
      </c>
      <c r="U1451">
        <v>45</v>
      </c>
      <c r="W1451">
        <v>1</v>
      </c>
    </row>
    <row r="1452" spans="1:25">
      <c r="A1452" s="1" t="s">
        <v>1521</v>
      </c>
      <c r="B1452" t="s">
        <v>58</v>
      </c>
      <c r="C1452" t="s">
        <v>47</v>
      </c>
      <c r="D1452" t="s">
        <v>59</v>
      </c>
      <c r="E1452" t="s">
        <v>29</v>
      </c>
      <c r="F1452" t="s">
        <v>48</v>
      </c>
      <c r="G1452" t="s">
        <v>39</v>
      </c>
      <c r="H1452" t="s">
        <v>40</v>
      </c>
      <c r="I1452" t="s">
        <v>33</v>
      </c>
      <c r="J1452" s="2">
        <v>45328</v>
      </c>
      <c r="K1452" s="2">
        <v>45333</v>
      </c>
      <c r="L1452" s="2">
        <v>45339</v>
      </c>
      <c r="M1452" s="2">
        <v>45341</v>
      </c>
      <c r="N1452" s="2">
        <v>45342</v>
      </c>
      <c r="O1452">
        <v>1</v>
      </c>
      <c r="P1452">
        <v>1</v>
      </c>
      <c r="Q1452">
        <v>0</v>
      </c>
      <c r="R1452">
        <v>0</v>
      </c>
      <c r="S1452">
        <v>0</v>
      </c>
      <c r="T1452" t="s">
        <v>34</v>
      </c>
      <c r="U1452">
        <v>46</v>
      </c>
      <c r="W1452">
        <v>15</v>
      </c>
    </row>
    <row r="1453" spans="1:25">
      <c r="A1453" s="1" t="s">
        <v>1522</v>
      </c>
      <c r="B1453" t="s">
        <v>70</v>
      </c>
      <c r="C1453" t="s">
        <v>37</v>
      </c>
      <c r="D1453" t="s">
        <v>44</v>
      </c>
      <c r="E1453" t="s">
        <v>102</v>
      </c>
      <c r="F1453" t="s">
        <v>76</v>
      </c>
      <c r="G1453" t="s">
        <v>55</v>
      </c>
      <c r="H1453" t="s">
        <v>56</v>
      </c>
      <c r="I1453" t="s">
        <v>41</v>
      </c>
      <c r="J1453" s="2">
        <v>45005</v>
      </c>
      <c r="K1453" s="2">
        <v>45006</v>
      </c>
      <c r="L1453" s="2">
        <v>45009</v>
      </c>
      <c r="M1453" s="2">
        <v>45014</v>
      </c>
      <c r="N1453" s="2">
        <v>45036</v>
      </c>
      <c r="O1453">
        <v>1</v>
      </c>
      <c r="P1453">
        <v>1</v>
      </c>
      <c r="Q1453">
        <v>1</v>
      </c>
      <c r="R1453">
        <v>0</v>
      </c>
      <c r="S1453">
        <v>0</v>
      </c>
      <c r="T1453" t="s">
        <v>49</v>
      </c>
      <c r="U1453">
        <v>56</v>
      </c>
      <c r="W1453">
        <v>2</v>
      </c>
      <c r="X1453">
        <v>522042</v>
      </c>
      <c r="Y1453" t="s">
        <v>68</v>
      </c>
    </row>
    <row r="1454" spans="1:25">
      <c r="A1454" s="1" t="s">
        <v>1523</v>
      </c>
      <c r="B1454" t="s">
        <v>26</v>
      </c>
      <c r="C1454" t="s">
        <v>71</v>
      </c>
      <c r="D1454" t="s">
        <v>28</v>
      </c>
      <c r="E1454" t="s">
        <v>66</v>
      </c>
      <c r="F1454" t="s">
        <v>30</v>
      </c>
      <c r="G1454" t="s">
        <v>60</v>
      </c>
      <c r="H1454" t="s">
        <v>32</v>
      </c>
      <c r="I1454" t="s">
        <v>41</v>
      </c>
      <c r="J1454" s="2">
        <v>45096</v>
      </c>
      <c r="K1454" s="2">
        <v>45099</v>
      </c>
      <c r="L1454" s="2">
        <v>45109</v>
      </c>
      <c r="M1454" s="2">
        <v>45112</v>
      </c>
      <c r="N1454" s="2">
        <v>45117</v>
      </c>
      <c r="O1454">
        <v>1</v>
      </c>
      <c r="P1454">
        <v>1</v>
      </c>
      <c r="Q1454">
        <v>1</v>
      </c>
      <c r="R1454">
        <v>0</v>
      </c>
      <c r="S1454">
        <v>0</v>
      </c>
      <c r="T1454" t="s">
        <v>49</v>
      </c>
      <c r="U1454">
        <v>86</v>
      </c>
      <c r="W1454">
        <v>5</v>
      </c>
      <c r="X1454">
        <v>1263714</v>
      </c>
      <c r="Y1454" t="s">
        <v>50</v>
      </c>
    </row>
    <row r="1455" spans="1:25">
      <c r="A1455" s="1" t="s">
        <v>1524</v>
      </c>
      <c r="B1455" t="s">
        <v>70</v>
      </c>
      <c r="C1455" t="s">
        <v>78</v>
      </c>
      <c r="D1455" t="s">
        <v>52</v>
      </c>
      <c r="E1455" t="s">
        <v>29</v>
      </c>
      <c r="F1455" t="s">
        <v>48</v>
      </c>
      <c r="G1455" t="s">
        <v>39</v>
      </c>
      <c r="H1455" t="s">
        <v>56</v>
      </c>
      <c r="I1455" t="s">
        <v>33</v>
      </c>
      <c r="J1455" s="2">
        <v>45295</v>
      </c>
      <c r="K1455" s="2">
        <v>45297</v>
      </c>
      <c r="L1455" s="2">
        <v>45305</v>
      </c>
      <c r="M1455" s="2">
        <v>45312</v>
      </c>
      <c r="N1455" s="2">
        <v>45315</v>
      </c>
      <c r="O1455">
        <v>1</v>
      </c>
      <c r="P1455">
        <v>0</v>
      </c>
      <c r="Q1455">
        <v>0</v>
      </c>
      <c r="R1455">
        <v>0</v>
      </c>
      <c r="S1455">
        <v>0</v>
      </c>
      <c r="T1455" t="s">
        <v>34</v>
      </c>
      <c r="U1455">
        <v>47</v>
      </c>
      <c r="W1455">
        <v>8</v>
      </c>
    </row>
    <row r="1456" spans="1:25">
      <c r="A1456" s="1" t="s">
        <v>1525</v>
      </c>
      <c r="B1456" t="s">
        <v>70</v>
      </c>
      <c r="C1456" t="s">
        <v>78</v>
      </c>
      <c r="D1456" t="s">
        <v>59</v>
      </c>
      <c r="E1456" t="s">
        <v>29</v>
      </c>
      <c r="F1456" t="s">
        <v>38</v>
      </c>
      <c r="G1456" t="s">
        <v>55</v>
      </c>
      <c r="H1456" t="s">
        <v>40</v>
      </c>
      <c r="I1456" t="s">
        <v>41</v>
      </c>
      <c r="J1456" s="2">
        <v>45258</v>
      </c>
      <c r="K1456" s="2">
        <v>45260</v>
      </c>
      <c r="L1456" s="2">
        <v>45264</v>
      </c>
      <c r="M1456" s="2">
        <v>45266</v>
      </c>
      <c r="N1456" s="2">
        <v>45296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74</v>
      </c>
      <c r="U1456">
        <v>63</v>
      </c>
      <c r="W1456">
        <v>10</v>
      </c>
    </row>
    <row r="1457" spans="1:25">
      <c r="A1457" s="1" t="s">
        <v>1526</v>
      </c>
      <c r="B1457" t="s">
        <v>58</v>
      </c>
      <c r="C1457" t="s">
        <v>78</v>
      </c>
      <c r="D1457" t="s">
        <v>28</v>
      </c>
      <c r="E1457" t="s">
        <v>29</v>
      </c>
      <c r="F1457" t="s">
        <v>67</v>
      </c>
      <c r="G1457" t="s">
        <v>55</v>
      </c>
      <c r="H1457" t="s">
        <v>56</v>
      </c>
      <c r="I1457" t="s">
        <v>41</v>
      </c>
      <c r="J1457" s="2">
        <v>45349</v>
      </c>
      <c r="K1457" s="2">
        <v>45352</v>
      </c>
      <c r="L1457" s="2">
        <v>45361</v>
      </c>
      <c r="M1457" s="2">
        <v>45366</v>
      </c>
      <c r="N1457" s="2">
        <v>45368</v>
      </c>
      <c r="O1457">
        <v>1</v>
      </c>
      <c r="P1457">
        <v>0</v>
      </c>
      <c r="Q1457">
        <v>0</v>
      </c>
      <c r="R1457">
        <v>0</v>
      </c>
      <c r="S1457">
        <v>0</v>
      </c>
      <c r="T1457" t="s">
        <v>34</v>
      </c>
      <c r="U1457">
        <v>51</v>
      </c>
      <c r="W1457">
        <v>7</v>
      </c>
    </row>
    <row r="1458" spans="1:25">
      <c r="A1458" s="1" t="s">
        <v>1527</v>
      </c>
      <c r="B1458" t="s">
        <v>70</v>
      </c>
      <c r="C1458" t="s">
        <v>27</v>
      </c>
      <c r="D1458" t="s">
        <v>28</v>
      </c>
      <c r="E1458" t="s">
        <v>63</v>
      </c>
      <c r="F1458" t="s">
        <v>38</v>
      </c>
      <c r="G1458" t="s">
        <v>60</v>
      </c>
      <c r="H1458" t="s">
        <v>56</v>
      </c>
      <c r="I1458" t="s">
        <v>33</v>
      </c>
      <c r="J1458" s="2">
        <v>45100</v>
      </c>
      <c r="K1458" s="2">
        <v>45104</v>
      </c>
      <c r="L1458" s="2">
        <v>45108</v>
      </c>
      <c r="M1458" s="2">
        <v>45113</v>
      </c>
      <c r="N1458" s="2">
        <v>45121</v>
      </c>
      <c r="O1458">
        <v>0</v>
      </c>
      <c r="P1458">
        <v>0</v>
      </c>
      <c r="Q1458">
        <v>0</v>
      </c>
      <c r="R1458">
        <v>0</v>
      </c>
      <c r="S1458">
        <v>0</v>
      </c>
      <c r="T1458" t="s">
        <v>74</v>
      </c>
      <c r="U1458">
        <v>95</v>
      </c>
      <c r="W1458">
        <v>0</v>
      </c>
    </row>
    <row r="1459" spans="1:25">
      <c r="A1459" s="1" t="s">
        <v>1528</v>
      </c>
      <c r="B1459" t="s">
        <v>43</v>
      </c>
      <c r="C1459" t="s">
        <v>37</v>
      </c>
      <c r="D1459" t="s">
        <v>52</v>
      </c>
      <c r="E1459" t="s">
        <v>66</v>
      </c>
      <c r="F1459" t="s">
        <v>30</v>
      </c>
      <c r="G1459" t="s">
        <v>55</v>
      </c>
      <c r="H1459" t="s">
        <v>32</v>
      </c>
      <c r="I1459" t="s">
        <v>41</v>
      </c>
      <c r="J1459" s="2">
        <v>45030</v>
      </c>
      <c r="K1459" s="2">
        <v>45035</v>
      </c>
      <c r="L1459" s="2">
        <v>45045</v>
      </c>
      <c r="M1459" s="2">
        <v>45047</v>
      </c>
      <c r="N1459" s="2">
        <v>45058</v>
      </c>
      <c r="O1459">
        <v>1</v>
      </c>
      <c r="P1459">
        <v>1</v>
      </c>
      <c r="Q1459">
        <v>1</v>
      </c>
      <c r="R1459">
        <v>1</v>
      </c>
      <c r="S1459">
        <v>0</v>
      </c>
      <c r="T1459" t="s">
        <v>61</v>
      </c>
      <c r="U1459">
        <v>91</v>
      </c>
      <c r="V1459">
        <v>28</v>
      </c>
      <c r="W1459">
        <v>2</v>
      </c>
      <c r="X1459">
        <v>798286</v>
      </c>
    </row>
    <row r="1460" spans="1:25">
      <c r="A1460" s="1" t="s">
        <v>1529</v>
      </c>
      <c r="B1460" t="s">
        <v>26</v>
      </c>
      <c r="C1460" t="s">
        <v>78</v>
      </c>
      <c r="D1460" t="s">
        <v>44</v>
      </c>
      <c r="E1460" t="s">
        <v>54</v>
      </c>
      <c r="F1460" t="s">
        <v>76</v>
      </c>
      <c r="G1460" t="s">
        <v>31</v>
      </c>
      <c r="H1460" t="s">
        <v>40</v>
      </c>
      <c r="I1460" t="s">
        <v>41</v>
      </c>
      <c r="J1460" s="2">
        <v>45470</v>
      </c>
      <c r="K1460" s="2">
        <v>45473</v>
      </c>
      <c r="L1460" s="2">
        <v>45479</v>
      </c>
      <c r="M1460" s="2">
        <v>45481</v>
      </c>
      <c r="N1460" s="2">
        <v>45487</v>
      </c>
      <c r="O1460">
        <v>1</v>
      </c>
      <c r="P1460">
        <v>1</v>
      </c>
      <c r="Q1460">
        <v>1</v>
      </c>
      <c r="R1460">
        <v>1</v>
      </c>
      <c r="S1460">
        <v>0</v>
      </c>
      <c r="T1460" t="s">
        <v>61</v>
      </c>
      <c r="U1460">
        <v>97</v>
      </c>
      <c r="V1460">
        <v>17</v>
      </c>
      <c r="W1460">
        <v>8</v>
      </c>
      <c r="X1460">
        <v>1436621</v>
      </c>
    </row>
    <row r="1461" spans="1:25">
      <c r="A1461" s="1" t="s">
        <v>1530</v>
      </c>
      <c r="B1461" t="s">
        <v>26</v>
      </c>
      <c r="C1461" t="s">
        <v>27</v>
      </c>
      <c r="D1461" t="s">
        <v>28</v>
      </c>
      <c r="E1461" t="s">
        <v>54</v>
      </c>
      <c r="F1461" t="s">
        <v>30</v>
      </c>
      <c r="G1461" t="s">
        <v>39</v>
      </c>
      <c r="H1461" t="s">
        <v>32</v>
      </c>
      <c r="I1461" t="s">
        <v>33</v>
      </c>
      <c r="J1461" s="2">
        <v>44949</v>
      </c>
      <c r="K1461" s="2">
        <v>44950</v>
      </c>
      <c r="L1461" s="2">
        <v>44958</v>
      </c>
      <c r="M1461" s="2">
        <v>44965</v>
      </c>
      <c r="N1461" s="2">
        <v>44962</v>
      </c>
      <c r="O1461">
        <v>1</v>
      </c>
      <c r="P1461">
        <v>1</v>
      </c>
      <c r="Q1461">
        <v>1</v>
      </c>
      <c r="R1461">
        <v>0</v>
      </c>
      <c r="S1461">
        <v>0</v>
      </c>
      <c r="T1461" t="s">
        <v>49</v>
      </c>
      <c r="U1461">
        <v>56</v>
      </c>
      <c r="W1461">
        <v>2</v>
      </c>
      <c r="X1461">
        <v>695834</v>
      </c>
      <c r="Y1461" t="s">
        <v>80</v>
      </c>
    </row>
    <row r="1462" spans="1:25">
      <c r="A1462" s="1" t="s">
        <v>1531</v>
      </c>
      <c r="B1462" t="s">
        <v>26</v>
      </c>
      <c r="C1462" t="s">
        <v>78</v>
      </c>
      <c r="D1462" t="s">
        <v>28</v>
      </c>
      <c r="E1462" t="s">
        <v>66</v>
      </c>
      <c r="F1462" t="s">
        <v>76</v>
      </c>
      <c r="G1462" t="s">
        <v>45</v>
      </c>
      <c r="H1462" t="s">
        <v>40</v>
      </c>
      <c r="I1462" t="s">
        <v>33</v>
      </c>
      <c r="J1462" s="2">
        <v>44954</v>
      </c>
      <c r="K1462" s="2">
        <v>44958</v>
      </c>
      <c r="L1462" s="2">
        <v>44961</v>
      </c>
      <c r="M1462" s="2">
        <v>44966</v>
      </c>
      <c r="N1462" s="2">
        <v>44979</v>
      </c>
      <c r="O1462">
        <v>0</v>
      </c>
      <c r="P1462">
        <v>0</v>
      </c>
      <c r="Q1462">
        <v>0</v>
      </c>
      <c r="R1462">
        <v>0</v>
      </c>
      <c r="S1462">
        <v>0</v>
      </c>
      <c r="T1462" t="s">
        <v>74</v>
      </c>
      <c r="U1462">
        <v>67</v>
      </c>
      <c r="W1462">
        <v>6</v>
      </c>
    </row>
    <row r="1463" spans="1:25">
      <c r="A1463" s="1" t="s">
        <v>1532</v>
      </c>
      <c r="B1463" t="s">
        <v>43</v>
      </c>
      <c r="C1463" t="s">
        <v>37</v>
      </c>
      <c r="D1463" t="s">
        <v>59</v>
      </c>
      <c r="E1463" t="s">
        <v>102</v>
      </c>
      <c r="F1463" t="s">
        <v>38</v>
      </c>
      <c r="G1463" t="s">
        <v>31</v>
      </c>
      <c r="H1463" t="s">
        <v>40</v>
      </c>
      <c r="I1463" t="s">
        <v>41</v>
      </c>
      <c r="J1463" s="2">
        <v>45473</v>
      </c>
      <c r="K1463" s="2">
        <v>45475</v>
      </c>
      <c r="L1463" s="2">
        <v>45478</v>
      </c>
      <c r="M1463" s="2">
        <v>45484</v>
      </c>
      <c r="N1463" s="2">
        <v>45499</v>
      </c>
      <c r="O1463">
        <v>1</v>
      </c>
      <c r="P1463">
        <v>0</v>
      </c>
      <c r="Q1463">
        <v>0</v>
      </c>
      <c r="R1463">
        <v>0</v>
      </c>
      <c r="S1463">
        <v>0</v>
      </c>
      <c r="T1463" t="s">
        <v>34</v>
      </c>
      <c r="U1463">
        <v>82</v>
      </c>
      <c r="W1463">
        <v>4</v>
      </c>
    </row>
    <row r="1464" spans="1:25">
      <c r="A1464" s="1" t="s">
        <v>1533</v>
      </c>
      <c r="B1464" t="s">
        <v>36</v>
      </c>
      <c r="C1464" t="s">
        <v>27</v>
      </c>
      <c r="D1464" t="s">
        <v>73</v>
      </c>
      <c r="E1464" t="s">
        <v>102</v>
      </c>
      <c r="F1464" t="s">
        <v>67</v>
      </c>
      <c r="G1464" t="s">
        <v>39</v>
      </c>
      <c r="H1464" t="s">
        <v>56</v>
      </c>
      <c r="I1464" t="s">
        <v>33</v>
      </c>
      <c r="J1464" s="2">
        <v>44996</v>
      </c>
      <c r="K1464" s="2">
        <v>45000</v>
      </c>
      <c r="L1464" s="2">
        <v>45003</v>
      </c>
      <c r="M1464" s="2">
        <v>45006</v>
      </c>
      <c r="N1464" s="2">
        <v>45016</v>
      </c>
      <c r="O1464">
        <v>0</v>
      </c>
      <c r="P1464">
        <v>0</v>
      </c>
      <c r="Q1464">
        <v>0</v>
      </c>
      <c r="R1464">
        <v>0</v>
      </c>
      <c r="S1464">
        <v>1</v>
      </c>
      <c r="T1464" t="s">
        <v>74</v>
      </c>
      <c r="U1464">
        <v>95</v>
      </c>
      <c r="W1464">
        <v>0</v>
      </c>
    </row>
    <row r="1465" spans="1:25">
      <c r="A1465" s="1" t="s">
        <v>1534</v>
      </c>
      <c r="B1465" t="s">
        <v>43</v>
      </c>
      <c r="C1465" t="s">
        <v>71</v>
      </c>
      <c r="D1465" t="s">
        <v>59</v>
      </c>
      <c r="E1465" t="s">
        <v>29</v>
      </c>
      <c r="F1465" t="s">
        <v>48</v>
      </c>
      <c r="G1465" t="s">
        <v>39</v>
      </c>
      <c r="H1465" t="s">
        <v>40</v>
      </c>
      <c r="I1465" t="s">
        <v>41</v>
      </c>
      <c r="J1465" s="2">
        <v>45288</v>
      </c>
      <c r="K1465" s="2">
        <v>45289</v>
      </c>
      <c r="L1465" s="2">
        <v>45295</v>
      </c>
      <c r="M1465" s="2">
        <v>45301</v>
      </c>
      <c r="N1465" s="2">
        <v>45304</v>
      </c>
      <c r="O1465">
        <v>0</v>
      </c>
      <c r="P1465">
        <v>0</v>
      </c>
      <c r="Q1465">
        <v>0</v>
      </c>
      <c r="R1465">
        <v>0</v>
      </c>
      <c r="S1465">
        <v>0</v>
      </c>
      <c r="T1465" t="s">
        <v>74</v>
      </c>
      <c r="U1465">
        <v>66</v>
      </c>
      <c r="W1465">
        <v>5</v>
      </c>
    </row>
    <row r="1466" spans="1:25">
      <c r="A1466" s="1" t="s">
        <v>1535</v>
      </c>
      <c r="B1466" t="s">
        <v>58</v>
      </c>
      <c r="C1466" t="s">
        <v>78</v>
      </c>
      <c r="D1466" t="s">
        <v>52</v>
      </c>
      <c r="E1466" t="s">
        <v>29</v>
      </c>
      <c r="F1466" t="s">
        <v>30</v>
      </c>
      <c r="G1466" t="s">
        <v>55</v>
      </c>
      <c r="H1466" t="s">
        <v>32</v>
      </c>
      <c r="I1466" t="s">
        <v>33</v>
      </c>
      <c r="J1466" s="2">
        <v>45166</v>
      </c>
      <c r="K1466" s="2">
        <v>45169</v>
      </c>
      <c r="L1466" s="2">
        <v>45173</v>
      </c>
      <c r="M1466" s="2">
        <v>45179</v>
      </c>
      <c r="N1466" s="2">
        <v>45187</v>
      </c>
      <c r="O1466">
        <v>1</v>
      </c>
      <c r="P1466">
        <v>0</v>
      </c>
      <c r="Q1466">
        <v>0</v>
      </c>
      <c r="R1466">
        <v>0</v>
      </c>
      <c r="S1466">
        <v>0</v>
      </c>
      <c r="T1466" t="s">
        <v>34</v>
      </c>
      <c r="U1466">
        <v>56</v>
      </c>
      <c r="W1466">
        <v>6</v>
      </c>
    </row>
    <row r="1467" spans="1:25">
      <c r="A1467" s="1" t="s">
        <v>1536</v>
      </c>
      <c r="B1467" t="s">
        <v>43</v>
      </c>
      <c r="C1467" t="s">
        <v>71</v>
      </c>
      <c r="D1467" t="s">
        <v>59</v>
      </c>
      <c r="E1467" t="s">
        <v>54</v>
      </c>
      <c r="F1467" t="s">
        <v>64</v>
      </c>
      <c r="G1467" t="s">
        <v>39</v>
      </c>
      <c r="H1467" t="s">
        <v>40</v>
      </c>
      <c r="I1467" t="s">
        <v>41</v>
      </c>
      <c r="J1467" s="2">
        <v>44957</v>
      </c>
      <c r="K1467" s="2">
        <v>44960</v>
      </c>
      <c r="L1467" s="2">
        <v>44964</v>
      </c>
      <c r="M1467" s="2">
        <v>44970</v>
      </c>
      <c r="N1467" s="2">
        <v>44976</v>
      </c>
      <c r="O1467">
        <v>1</v>
      </c>
      <c r="P1467">
        <v>1</v>
      </c>
      <c r="Q1467">
        <v>1</v>
      </c>
      <c r="R1467">
        <v>0</v>
      </c>
      <c r="S1467">
        <v>1</v>
      </c>
      <c r="T1467" t="s">
        <v>49</v>
      </c>
      <c r="U1467">
        <v>59</v>
      </c>
      <c r="W1467">
        <v>3</v>
      </c>
      <c r="X1467">
        <v>1457601</v>
      </c>
      <c r="Y1467" t="s">
        <v>68</v>
      </c>
    </row>
    <row r="1468" spans="1:25">
      <c r="A1468" s="1" t="s">
        <v>1537</v>
      </c>
      <c r="B1468" t="s">
        <v>36</v>
      </c>
      <c r="C1468" t="s">
        <v>78</v>
      </c>
      <c r="D1468" t="s">
        <v>73</v>
      </c>
      <c r="E1468" t="s">
        <v>66</v>
      </c>
      <c r="F1468" t="s">
        <v>76</v>
      </c>
      <c r="G1468" t="s">
        <v>60</v>
      </c>
      <c r="H1468" t="s">
        <v>32</v>
      </c>
      <c r="I1468" t="s">
        <v>33</v>
      </c>
      <c r="J1468" s="2">
        <v>45369</v>
      </c>
      <c r="K1468" s="2">
        <v>45371</v>
      </c>
      <c r="L1468" s="2">
        <v>45378</v>
      </c>
      <c r="M1468" s="2">
        <v>45383</v>
      </c>
      <c r="N1468" s="2">
        <v>45398</v>
      </c>
      <c r="O1468">
        <v>1</v>
      </c>
      <c r="P1468">
        <v>1</v>
      </c>
      <c r="Q1468">
        <v>1</v>
      </c>
      <c r="R1468">
        <v>0</v>
      </c>
      <c r="S1468">
        <v>0</v>
      </c>
      <c r="T1468" t="s">
        <v>49</v>
      </c>
      <c r="U1468">
        <v>48</v>
      </c>
      <c r="W1468">
        <v>6</v>
      </c>
      <c r="X1468">
        <v>2042756</v>
      </c>
      <c r="Y1468" t="s">
        <v>127</v>
      </c>
    </row>
    <row r="1469" spans="1:25">
      <c r="A1469" s="1" t="s">
        <v>1538</v>
      </c>
      <c r="B1469" t="s">
        <v>43</v>
      </c>
      <c r="C1469" t="s">
        <v>47</v>
      </c>
      <c r="D1469" t="s">
        <v>59</v>
      </c>
      <c r="E1469" t="s">
        <v>63</v>
      </c>
      <c r="F1469" t="s">
        <v>38</v>
      </c>
      <c r="G1469" t="s">
        <v>60</v>
      </c>
      <c r="H1469" t="s">
        <v>32</v>
      </c>
      <c r="I1469" t="s">
        <v>41</v>
      </c>
      <c r="J1469" s="2">
        <v>44943</v>
      </c>
      <c r="K1469" s="2">
        <v>44945</v>
      </c>
      <c r="L1469" s="2">
        <v>44949</v>
      </c>
      <c r="M1469" s="2">
        <v>44952</v>
      </c>
      <c r="N1469" s="2">
        <v>44969</v>
      </c>
      <c r="O1469">
        <v>1</v>
      </c>
      <c r="P1469">
        <v>1</v>
      </c>
      <c r="Q1469">
        <v>1</v>
      </c>
      <c r="R1469">
        <v>0</v>
      </c>
      <c r="S1469">
        <v>0</v>
      </c>
      <c r="T1469" t="s">
        <v>49</v>
      </c>
      <c r="U1469">
        <v>66</v>
      </c>
      <c r="W1469">
        <v>8</v>
      </c>
      <c r="X1469">
        <v>2046754</v>
      </c>
      <c r="Y1469" t="s">
        <v>87</v>
      </c>
    </row>
    <row r="1470" spans="1:25">
      <c r="A1470" s="1" t="s">
        <v>1539</v>
      </c>
      <c r="B1470" t="s">
        <v>90</v>
      </c>
      <c r="C1470" t="s">
        <v>37</v>
      </c>
      <c r="D1470" t="s">
        <v>44</v>
      </c>
      <c r="E1470" t="s">
        <v>63</v>
      </c>
      <c r="F1470" t="s">
        <v>48</v>
      </c>
      <c r="G1470" t="s">
        <v>60</v>
      </c>
      <c r="H1470" t="s">
        <v>56</v>
      </c>
      <c r="I1470" t="s">
        <v>41</v>
      </c>
      <c r="J1470" s="2">
        <v>44996</v>
      </c>
      <c r="K1470" s="2">
        <v>45000</v>
      </c>
      <c r="L1470" s="2">
        <v>45003</v>
      </c>
      <c r="M1470" s="2">
        <v>45007</v>
      </c>
      <c r="N1470" s="2">
        <v>45017</v>
      </c>
      <c r="O1470">
        <v>1</v>
      </c>
      <c r="P1470">
        <v>1</v>
      </c>
      <c r="Q1470">
        <v>1</v>
      </c>
      <c r="R1470">
        <v>1</v>
      </c>
      <c r="S1470">
        <v>0</v>
      </c>
      <c r="T1470" t="s">
        <v>61</v>
      </c>
      <c r="U1470">
        <v>87</v>
      </c>
      <c r="V1470">
        <v>21</v>
      </c>
      <c r="W1470">
        <v>1</v>
      </c>
      <c r="X1470">
        <v>739328</v>
      </c>
    </row>
    <row r="1471" spans="1:25">
      <c r="A1471" s="1" t="s">
        <v>1540</v>
      </c>
      <c r="B1471" t="s">
        <v>43</v>
      </c>
      <c r="C1471" t="s">
        <v>27</v>
      </c>
      <c r="D1471" t="s">
        <v>44</v>
      </c>
      <c r="E1471" t="s">
        <v>66</v>
      </c>
      <c r="F1471" t="s">
        <v>48</v>
      </c>
      <c r="G1471" t="s">
        <v>60</v>
      </c>
      <c r="H1471" t="s">
        <v>56</v>
      </c>
      <c r="I1471" t="s">
        <v>41</v>
      </c>
      <c r="J1471" s="2">
        <v>45269</v>
      </c>
      <c r="K1471" s="2">
        <v>45274</v>
      </c>
      <c r="L1471" s="2">
        <v>45282</v>
      </c>
      <c r="M1471" s="2">
        <v>45288</v>
      </c>
      <c r="N1471" s="2">
        <v>45293</v>
      </c>
      <c r="O1471">
        <v>1</v>
      </c>
      <c r="P1471">
        <v>1</v>
      </c>
      <c r="Q1471">
        <v>0</v>
      </c>
      <c r="R1471">
        <v>0</v>
      </c>
      <c r="S1471">
        <v>0</v>
      </c>
      <c r="T1471" t="s">
        <v>34</v>
      </c>
      <c r="U1471">
        <v>79</v>
      </c>
      <c r="W1471">
        <v>0</v>
      </c>
    </row>
    <row r="1472" spans="1:25">
      <c r="A1472" s="1" t="s">
        <v>1541</v>
      </c>
      <c r="B1472" t="s">
        <v>70</v>
      </c>
      <c r="C1472" t="s">
        <v>47</v>
      </c>
      <c r="D1472" t="s">
        <v>59</v>
      </c>
      <c r="E1472" t="s">
        <v>63</v>
      </c>
      <c r="F1472" t="s">
        <v>76</v>
      </c>
      <c r="G1472" t="s">
        <v>39</v>
      </c>
      <c r="H1472" t="s">
        <v>40</v>
      </c>
      <c r="I1472" t="s">
        <v>41</v>
      </c>
      <c r="J1472" s="2">
        <v>45174</v>
      </c>
      <c r="K1472" s="2">
        <v>45178</v>
      </c>
      <c r="L1472" s="2">
        <v>45184</v>
      </c>
      <c r="M1472" s="2">
        <v>45190</v>
      </c>
      <c r="N1472" s="2">
        <v>45198</v>
      </c>
      <c r="O1472">
        <v>1</v>
      </c>
      <c r="P1472">
        <v>0</v>
      </c>
      <c r="Q1472">
        <v>0</v>
      </c>
      <c r="R1472">
        <v>0</v>
      </c>
      <c r="S1472">
        <v>0</v>
      </c>
      <c r="T1472" t="s">
        <v>34</v>
      </c>
      <c r="U1472">
        <v>61</v>
      </c>
      <c r="W1472">
        <v>13</v>
      </c>
    </row>
    <row r="1473" spans="1:25">
      <c r="A1473" s="1" t="s">
        <v>1542</v>
      </c>
      <c r="B1473" t="s">
        <v>90</v>
      </c>
      <c r="C1473" t="s">
        <v>47</v>
      </c>
      <c r="D1473" t="s">
        <v>44</v>
      </c>
      <c r="E1473" t="s">
        <v>102</v>
      </c>
      <c r="F1473" t="s">
        <v>48</v>
      </c>
      <c r="G1473" t="s">
        <v>60</v>
      </c>
      <c r="H1473" t="s">
        <v>40</v>
      </c>
      <c r="I1473" t="s">
        <v>33</v>
      </c>
      <c r="J1473" s="2">
        <v>45268</v>
      </c>
      <c r="K1473" s="2">
        <v>45273</v>
      </c>
      <c r="L1473" s="2">
        <v>45278</v>
      </c>
      <c r="M1473" s="2">
        <v>45283</v>
      </c>
      <c r="N1473" s="2">
        <v>45298</v>
      </c>
      <c r="O1473">
        <v>1</v>
      </c>
      <c r="P1473">
        <v>0</v>
      </c>
      <c r="Q1473">
        <v>0</v>
      </c>
      <c r="R1473">
        <v>0</v>
      </c>
      <c r="S1473">
        <v>0</v>
      </c>
      <c r="T1473" t="s">
        <v>34</v>
      </c>
      <c r="U1473">
        <v>77</v>
      </c>
      <c r="W1473">
        <v>13</v>
      </c>
    </row>
    <row r="1474" spans="1:25">
      <c r="A1474" s="1" t="s">
        <v>1543</v>
      </c>
      <c r="B1474" t="s">
        <v>36</v>
      </c>
      <c r="C1474" t="s">
        <v>78</v>
      </c>
      <c r="D1474" t="s">
        <v>59</v>
      </c>
      <c r="E1474" t="s">
        <v>29</v>
      </c>
      <c r="F1474" t="s">
        <v>76</v>
      </c>
      <c r="G1474" t="s">
        <v>45</v>
      </c>
      <c r="H1474" t="s">
        <v>32</v>
      </c>
      <c r="I1474" t="s">
        <v>33</v>
      </c>
      <c r="J1474" s="2">
        <v>45284</v>
      </c>
      <c r="K1474" s="2">
        <v>45288</v>
      </c>
      <c r="L1474" s="2">
        <v>45295</v>
      </c>
      <c r="M1474" s="2">
        <v>45300</v>
      </c>
      <c r="N1474" s="2">
        <v>45305</v>
      </c>
      <c r="O1474">
        <v>1</v>
      </c>
      <c r="P1474">
        <v>0</v>
      </c>
      <c r="Q1474">
        <v>0</v>
      </c>
      <c r="R1474">
        <v>0</v>
      </c>
      <c r="S1474">
        <v>0</v>
      </c>
      <c r="T1474" t="s">
        <v>34</v>
      </c>
      <c r="U1474">
        <v>47</v>
      </c>
      <c r="W1474">
        <v>9</v>
      </c>
    </row>
    <row r="1475" spans="1:25">
      <c r="A1475" s="1" t="s">
        <v>1544</v>
      </c>
      <c r="B1475" t="s">
        <v>90</v>
      </c>
      <c r="C1475" t="s">
        <v>37</v>
      </c>
      <c r="D1475" t="s">
        <v>44</v>
      </c>
      <c r="E1475" t="s">
        <v>29</v>
      </c>
      <c r="F1475" t="s">
        <v>76</v>
      </c>
      <c r="G1475" t="s">
        <v>60</v>
      </c>
      <c r="H1475" t="s">
        <v>56</v>
      </c>
      <c r="I1475" t="s">
        <v>41</v>
      </c>
      <c r="J1475" s="2">
        <v>44970</v>
      </c>
      <c r="K1475" s="2">
        <v>44971</v>
      </c>
      <c r="L1475" s="2">
        <v>44974</v>
      </c>
      <c r="M1475" s="2">
        <v>44976</v>
      </c>
      <c r="N1475" s="2">
        <v>45000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74</v>
      </c>
      <c r="U1475">
        <v>71</v>
      </c>
      <c r="W1475">
        <v>3</v>
      </c>
    </row>
    <row r="1476" spans="1:25">
      <c r="A1476" s="1" t="s">
        <v>1545</v>
      </c>
      <c r="B1476" t="s">
        <v>36</v>
      </c>
      <c r="C1476" t="s">
        <v>37</v>
      </c>
      <c r="D1476" t="s">
        <v>52</v>
      </c>
      <c r="E1476" t="s">
        <v>63</v>
      </c>
      <c r="F1476" t="s">
        <v>38</v>
      </c>
      <c r="G1476" t="s">
        <v>60</v>
      </c>
      <c r="H1476" t="s">
        <v>56</v>
      </c>
      <c r="I1476" t="s">
        <v>33</v>
      </c>
      <c r="J1476" s="2">
        <v>45286</v>
      </c>
      <c r="K1476" s="2">
        <v>45289</v>
      </c>
      <c r="L1476" s="2">
        <v>45292</v>
      </c>
      <c r="M1476" s="2">
        <v>45296</v>
      </c>
      <c r="N1476" s="2">
        <v>45300</v>
      </c>
      <c r="O1476">
        <v>1</v>
      </c>
      <c r="P1476">
        <v>1</v>
      </c>
      <c r="Q1476">
        <v>1</v>
      </c>
      <c r="R1476">
        <v>0</v>
      </c>
      <c r="S1476">
        <v>0</v>
      </c>
      <c r="T1476" t="s">
        <v>49</v>
      </c>
      <c r="U1476">
        <v>63</v>
      </c>
      <c r="W1476">
        <v>4</v>
      </c>
      <c r="X1476">
        <v>697777</v>
      </c>
      <c r="Y1476" t="s">
        <v>68</v>
      </c>
    </row>
    <row r="1477" spans="1:25">
      <c r="A1477" s="1" t="s">
        <v>1546</v>
      </c>
      <c r="B1477" t="s">
        <v>26</v>
      </c>
      <c r="C1477" t="s">
        <v>47</v>
      </c>
      <c r="D1477" t="s">
        <v>44</v>
      </c>
      <c r="E1477" t="s">
        <v>29</v>
      </c>
      <c r="F1477" t="s">
        <v>76</v>
      </c>
      <c r="G1477" t="s">
        <v>31</v>
      </c>
      <c r="H1477" t="s">
        <v>32</v>
      </c>
      <c r="I1477" t="s">
        <v>33</v>
      </c>
      <c r="J1477" s="2">
        <v>44931</v>
      </c>
      <c r="K1477" s="2">
        <v>44932</v>
      </c>
      <c r="L1477" s="2">
        <v>44939</v>
      </c>
      <c r="M1477" s="2">
        <v>44944</v>
      </c>
      <c r="N1477" s="2">
        <v>44949</v>
      </c>
      <c r="O1477">
        <v>1</v>
      </c>
      <c r="P1477">
        <v>1</v>
      </c>
      <c r="Q1477">
        <v>1</v>
      </c>
      <c r="R1477">
        <v>1</v>
      </c>
      <c r="S1477">
        <v>0</v>
      </c>
      <c r="T1477" t="s">
        <v>61</v>
      </c>
      <c r="U1477">
        <v>98</v>
      </c>
      <c r="V1477">
        <v>18</v>
      </c>
      <c r="W1477">
        <v>9</v>
      </c>
      <c r="X1477">
        <v>1893488</v>
      </c>
    </row>
    <row r="1478" spans="1:25">
      <c r="A1478" s="1" t="s">
        <v>1547</v>
      </c>
      <c r="B1478" t="s">
        <v>43</v>
      </c>
      <c r="C1478" t="s">
        <v>71</v>
      </c>
      <c r="D1478" t="s">
        <v>52</v>
      </c>
      <c r="E1478" t="s">
        <v>66</v>
      </c>
      <c r="F1478" t="s">
        <v>38</v>
      </c>
      <c r="G1478" t="s">
        <v>55</v>
      </c>
      <c r="H1478" t="s">
        <v>40</v>
      </c>
      <c r="I1478" t="s">
        <v>33</v>
      </c>
      <c r="J1478" s="2">
        <v>45031</v>
      </c>
      <c r="K1478" s="2">
        <v>45036</v>
      </c>
      <c r="L1478" s="2">
        <v>45042</v>
      </c>
      <c r="M1478" s="2">
        <v>45044</v>
      </c>
      <c r="N1478" s="2">
        <v>45053</v>
      </c>
      <c r="O1478">
        <v>1</v>
      </c>
      <c r="P1478">
        <v>1</v>
      </c>
      <c r="Q1478">
        <v>1</v>
      </c>
      <c r="R1478">
        <v>1</v>
      </c>
      <c r="S1478">
        <v>0</v>
      </c>
      <c r="T1478" t="s">
        <v>61</v>
      </c>
      <c r="U1478">
        <v>90</v>
      </c>
      <c r="V1478">
        <v>22</v>
      </c>
      <c r="W1478">
        <v>4</v>
      </c>
      <c r="X1478">
        <v>1289902</v>
      </c>
    </row>
    <row r="1479" spans="1:25">
      <c r="A1479" s="1" t="s">
        <v>1548</v>
      </c>
      <c r="B1479" t="s">
        <v>70</v>
      </c>
      <c r="C1479" t="s">
        <v>78</v>
      </c>
      <c r="D1479" t="s">
        <v>28</v>
      </c>
      <c r="E1479" t="s">
        <v>29</v>
      </c>
      <c r="F1479" t="s">
        <v>48</v>
      </c>
      <c r="G1479" t="s">
        <v>55</v>
      </c>
      <c r="H1479" t="s">
        <v>40</v>
      </c>
      <c r="I1479" t="s">
        <v>33</v>
      </c>
      <c r="J1479" s="2">
        <v>45373</v>
      </c>
      <c r="K1479" s="2">
        <v>45378</v>
      </c>
      <c r="L1479" s="2">
        <v>45384</v>
      </c>
      <c r="M1479" s="2">
        <v>45391</v>
      </c>
      <c r="N1479" s="2">
        <v>45399</v>
      </c>
      <c r="O1479">
        <v>1</v>
      </c>
      <c r="P1479">
        <v>1</v>
      </c>
      <c r="Q1479">
        <v>1</v>
      </c>
      <c r="R1479">
        <v>0</v>
      </c>
      <c r="S1479">
        <v>0</v>
      </c>
      <c r="T1479" t="s">
        <v>49</v>
      </c>
      <c r="U1479">
        <v>63</v>
      </c>
      <c r="W1479">
        <v>6</v>
      </c>
      <c r="X1479">
        <v>2180900</v>
      </c>
      <c r="Y1479" t="s">
        <v>87</v>
      </c>
    </row>
    <row r="1480" spans="1:25">
      <c r="A1480" s="1" t="s">
        <v>1549</v>
      </c>
      <c r="B1480" t="s">
        <v>70</v>
      </c>
      <c r="C1480" t="s">
        <v>37</v>
      </c>
      <c r="D1480" t="s">
        <v>52</v>
      </c>
      <c r="E1480" t="s">
        <v>54</v>
      </c>
      <c r="F1480" t="s">
        <v>30</v>
      </c>
      <c r="G1480" t="s">
        <v>45</v>
      </c>
      <c r="H1480" t="s">
        <v>40</v>
      </c>
      <c r="I1480" t="s">
        <v>33</v>
      </c>
      <c r="J1480" s="2">
        <v>45356</v>
      </c>
      <c r="K1480" s="2">
        <v>45359</v>
      </c>
      <c r="L1480" s="2">
        <v>45367</v>
      </c>
      <c r="M1480" s="2">
        <v>45371</v>
      </c>
      <c r="N1480" s="2">
        <v>45389</v>
      </c>
      <c r="O1480">
        <v>1</v>
      </c>
      <c r="P1480">
        <v>1</v>
      </c>
      <c r="Q1480">
        <v>0</v>
      </c>
      <c r="R1480">
        <v>0</v>
      </c>
      <c r="S1480">
        <v>0</v>
      </c>
      <c r="T1480" t="s">
        <v>34</v>
      </c>
      <c r="U1480">
        <v>50</v>
      </c>
      <c r="W1480">
        <v>4</v>
      </c>
    </row>
    <row r="1481" spans="1:25">
      <c r="A1481" s="1" t="s">
        <v>1550</v>
      </c>
      <c r="B1481" t="s">
        <v>36</v>
      </c>
      <c r="C1481" t="s">
        <v>78</v>
      </c>
      <c r="D1481" t="s">
        <v>52</v>
      </c>
      <c r="E1481" t="s">
        <v>102</v>
      </c>
      <c r="F1481" t="s">
        <v>76</v>
      </c>
      <c r="G1481" t="s">
        <v>31</v>
      </c>
      <c r="H1481" t="s">
        <v>32</v>
      </c>
      <c r="I1481" t="s">
        <v>33</v>
      </c>
      <c r="J1481" s="2">
        <v>45364</v>
      </c>
      <c r="K1481" s="2">
        <v>45365</v>
      </c>
      <c r="L1481" s="2">
        <v>45371</v>
      </c>
      <c r="M1481" s="2">
        <v>45373</v>
      </c>
      <c r="N1481" s="2">
        <v>45388</v>
      </c>
      <c r="O1481">
        <v>1</v>
      </c>
      <c r="P1481">
        <v>1</v>
      </c>
      <c r="Q1481">
        <v>1</v>
      </c>
      <c r="R1481">
        <v>0</v>
      </c>
      <c r="S1481">
        <v>0</v>
      </c>
      <c r="T1481" t="s">
        <v>49</v>
      </c>
      <c r="U1481">
        <v>77</v>
      </c>
      <c r="W1481">
        <v>9</v>
      </c>
      <c r="X1481">
        <v>2058728</v>
      </c>
      <c r="Y1481" t="s">
        <v>87</v>
      </c>
    </row>
    <row r="1482" spans="1:25">
      <c r="A1482" s="1" t="s">
        <v>1551</v>
      </c>
      <c r="B1482" t="s">
        <v>70</v>
      </c>
      <c r="C1482" t="s">
        <v>71</v>
      </c>
      <c r="D1482" t="s">
        <v>44</v>
      </c>
      <c r="E1482" t="s">
        <v>29</v>
      </c>
      <c r="F1482" t="s">
        <v>38</v>
      </c>
      <c r="G1482" t="s">
        <v>60</v>
      </c>
      <c r="H1482" t="s">
        <v>56</v>
      </c>
      <c r="I1482" t="s">
        <v>33</v>
      </c>
      <c r="J1482" s="2">
        <v>44937</v>
      </c>
      <c r="K1482" s="2">
        <v>44942</v>
      </c>
      <c r="L1482" s="2">
        <v>44948</v>
      </c>
      <c r="M1482" s="2">
        <v>44955</v>
      </c>
      <c r="N1482" s="2">
        <v>44970</v>
      </c>
      <c r="O1482">
        <v>1</v>
      </c>
      <c r="P1482">
        <v>0</v>
      </c>
      <c r="Q1482">
        <v>0</v>
      </c>
      <c r="R1482">
        <v>0</v>
      </c>
      <c r="S1482">
        <v>0</v>
      </c>
      <c r="T1482" t="s">
        <v>34</v>
      </c>
      <c r="U1482">
        <v>51</v>
      </c>
      <c r="W1482">
        <v>5</v>
      </c>
    </row>
    <row r="1483" spans="1:25">
      <c r="A1483" s="1" t="s">
        <v>1552</v>
      </c>
      <c r="B1483" t="s">
        <v>26</v>
      </c>
      <c r="C1483" t="s">
        <v>37</v>
      </c>
      <c r="D1483" t="s">
        <v>73</v>
      </c>
      <c r="E1483" t="s">
        <v>29</v>
      </c>
      <c r="F1483" t="s">
        <v>64</v>
      </c>
      <c r="G1483" t="s">
        <v>39</v>
      </c>
      <c r="H1483" t="s">
        <v>32</v>
      </c>
      <c r="I1483" t="s">
        <v>33</v>
      </c>
      <c r="J1483" s="2">
        <v>45047</v>
      </c>
      <c r="K1483" s="2">
        <v>45051</v>
      </c>
      <c r="L1483" s="2">
        <v>45057</v>
      </c>
      <c r="M1483" s="2">
        <v>45059</v>
      </c>
      <c r="N1483" s="2">
        <v>45068</v>
      </c>
      <c r="O1483">
        <v>1</v>
      </c>
      <c r="P1483">
        <v>1</v>
      </c>
      <c r="Q1483">
        <v>1</v>
      </c>
      <c r="R1483">
        <v>1</v>
      </c>
      <c r="S1483">
        <v>0</v>
      </c>
      <c r="T1483" t="s">
        <v>61</v>
      </c>
      <c r="U1483">
        <v>62</v>
      </c>
      <c r="V1483">
        <v>21</v>
      </c>
      <c r="W1483">
        <v>3</v>
      </c>
      <c r="X1483">
        <v>794336</v>
      </c>
    </row>
    <row r="1484" spans="1:25">
      <c r="A1484" s="1" t="s">
        <v>1553</v>
      </c>
      <c r="B1484" t="s">
        <v>70</v>
      </c>
      <c r="C1484" t="s">
        <v>78</v>
      </c>
      <c r="D1484" t="s">
        <v>73</v>
      </c>
      <c r="E1484" t="s">
        <v>66</v>
      </c>
      <c r="F1484" t="s">
        <v>67</v>
      </c>
      <c r="G1484" t="s">
        <v>55</v>
      </c>
      <c r="H1484" t="s">
        <v>32</v>
      </c>
      <c r="I1484" t="s">
        <v>33</v>
      </c>
      <c r="J1484" s="2">
        <v>45329</v>
      </c>
      <c r="K1484" s="2">
        <v>45331</v>
      </c>
      <c r="L1484" s="2">
        <v>45334</v>
      </c>
      <c r="M1484" s="2">
        <v>45340</v>
      </c>
      <c r="N1484" s="2">
        <v>45362</v>
      </c>
      <c r="O1484">
        <v>1</v>
      </c>
      <c r="P1484">
        <v>0</v>
      </c>
      <c r="Q1484">
        <v>0</v>
      </c>
      <c r="R1484">
        <v>0</v>
      </c>
      <c r="S1484">
        <v>0</v>
      </c>
      <c r="T1484" t="s">
        <v>34</v>
      </c>
      <c r="U1484">
        <v>91</v>
      </c>
      <c r="W1484">
        <v>8</v>
      </c>
    </row>
    <row r="1485" spans="1:25">
      <c r="A1485" s="1" t="s">
        <v>1554</v>
      </c>
      <c r="B1485" t="s">
        <v>43</v>
      </c>
      <c r="C1485" t="s">
        <v>37</v>
      </c>
      <c r="D1485" t="s">
        <v>52</v>
      </c>
      <c r="E1485" t="s">
        <v>54</v>
      </c>
      <c r="F1485" t="s">
        <v>67</v>
      </c>
      <c r="G1485" t="s">
        <v>55</v>
      </c>
      <c r="H1485" t="s">
        <v>32</v>
      </c>
      <c r="I1485" t="s">
        <v>33</v>
      </c>
      <c r="J1485" s="2">
        <v>45016</v>
      </c>
      <c r="K1485" s="2">
        <v>45017</v>
      </c>
      <c r="L1485" s="2">
        <v>45022</v>
      </c>
      <c r="M1485" s="2">
        <v>45027</v>
      </c>
      <c r="N1485" s="2">
        <v>45034</v>
      </c>
      <c r="O1485">
        <v>0</v>
      </c>
      <c r="P1485">
        <v>0</v>
      </c>
      <c r="Q1485">
        <v>0</v>
      </c>
      <c r="R1485">
        <v>0</v>
      </c>
      <c r="S1485">
        <v>0</v>
      </c>
      <c r="T1485" t="s">
        <v>74</v>
      </c>
      <c r="U1485">
        <v>61</v>
      </c>
      <c r="W1485">
        <v>3</v>
      </c>
    </row>
    <row r="1486" spans="1:25">
      <c r="A1486" s="1" t="s">
        <v>1555</v>
      </c>
      <c r="B1486" t="s">
        <v>70</v>
      </c>
      <c r="C1486" t="s">
        <v>37</v>
      </c>
      <c r="D1486" t="s">
        <v>44</v>
      </c>
      <c r="E1486" t="s">
        <v>66</v>
      </c>
      <c r="F1486" t="s">
        <v>38</v>
      </c>
      <c r="G1486" t="s">
        <v>31</v>
      </c>
      <c r="H1486" t="s">
        <v>56</v>
      </c>
      <c r="I1486" t="s">
        <v>41</v>
      </c>
      <c r="J1486" s="2">
        <v>45399</v>
      </c>
      <c r="K1486" s="2">
        <v>45403</v>
      </c>
      <c r="L1486" s="2">
        <v>45409</v>
      </c>
      <c r="M1486" s="2">
        <v>45415</v>
      </c>
      <c r="N1486" s="2">
        <v>45430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74</v>
      </c>
      <c r="U1486">
        <v>90</v>
      </c>
      <c r="W1486">
        <v>1</v>
      </c>
    </row>
    <row r="1487" spans="1:25">
      <c r="A1487" s="1" t="s">
        <v>1556</v>
      </c>
      <c r="B1487" t="s">
        <v>26</v>
      </c>
      <c r="C1487" t="s">
        <v>27</v>
      </c>
      <c r="D1487" t="s">
        <v>28</v>
      </c>
      <c r="E1487" t="s">
        <v>54</v>
      </c>
      <c r="F1487" t="s">
        <v>38</v>
      </c>
      <c r="G1487" t="s">
        <v>45</v>
      </c>
      <c r="H1487" t="s">
        <v>56</v>
      </c>
      <c r="I1487" t="s">
        <v>41</v>
      </c>
      <c r="J1487" s="2">
        <v>45012</v>
      </c>
      <c r="K1487" s="2">
        <v>45013</v>
      </c>
      <c r="L1487" s="2">
        <v>45018</v>
      </c>
      <c r="M1487" s="2">
        <v>45024</v>
      </c>
      <c r="N1487" s="2">
        <v>45032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74</v>
      </c>
      <c r="U1487">
        <v>67</v>
      </c>
      <c r="W1487">
        <v>1</v>
      </c>
    </row>
    <row r="1488" spans="1:25">
      <c r="A1488" s="1" t="s">
        <v>1557</v>
      </c>
      <c r="B1488" t="s">
        <v>58</v>
      </c>
      <c r="C1488" t="s">
        <v>27</v>
      </c>
      <c r="D1488" t="s">
        <v>73</v>
      </c>
      <c r="E1488" t="s">
        <v>102</v>
      </c>
      <c r="F1488" t="s">
        <v>30</v>
      </c>
      <c r="G1488" t="s">
        <v>60</v>
      </c>
      <c r="H1488" t="s">
        <v>40</v>
      </c>
      <c r="I1488" t="s">
        <v>41</v>
      </c>
      <c r="J1488" s="2">
        <v>45111</v>
      </c>
      <c r="K1488" s="2">
        <v>45114</v>
      </c>
      <c r="L1488" s="2">
        <v>45123</v>
      </c>
      <c r="M1488" s="2">
        <v>45126</v>
      </c>
      <c r="N1488" s="2">
        <v>45129</v>
      </c>
      <c r="O1488">
        <v>1</v>
      </c>
      <c r="P1488">
        <v>0</v>
      </c>
      <c r="Q1488">
        <v>0</v>
      </c>
      <c r="R1488">
        <v>0</v>
      </c>
      <c r="S1488">
        <v>0</v>
      </c>
      <c r="T1488" t="s">
        <v>34</v>
      </c>
      <c r="U1488">
        <v>69</v>
      </c>
      <c r="W1488">
        <v>0</v>
      </c>
    </row>
    <row r="1489" spans="1:25">
      <c r="A1489" s="1" t="s">
        <v>1558</v>
      </c>
      <c r="B1489" t="s">
        <v>26</v>
      </c>
      <c r="C1489" t="s">
        <v>37</v>
      </c>
      <c r="D1489" t="s">
        <v>28</v>
      </c>
      <c r="E1489" t="s">
        <v>66</v>
      </c>
      <c r="F1489" t="s">
        <v>76</v>
      </c>
      <c r="G1489" t="s">
        <v>45</v>
      </c>
      <c r="H1489" t="s">
        <v>40</v>
      </c>
      <c r="I1489" t="s">
        <v>33</v>
      </c>
      <c r="J1489" s="2">
        <v>45053</v>
      </c>
      <c r="K1489" s="2">
        <v>45058</v>
      </c>
      <c r="L1489" s="2">
        <v>45061</v>
      </c>
      <c r="M1489" s="2">
        <v>45068</v>
      </c>
      <c r="N1489" s="2">
        <v>45070</v>
      </c>
      <c r="O1489">
        <v>1</v>
      </c>
      <c r="P1489">
        <v>1</v>
      </c>
      <c r="Q1489">
        <v>0</v>
      </c>
      <c r="R1489">
        <v>0</v>
      </c>
      <c r="S1489">
        <v>0</v>
      </c>
      <c r="T1489" t="s">
        <v>34</v>
      </c>
      <c r="U1489">
        <v>46</v>
      </c>
      <c r="W1489">
        <v>1</v>
      </c>
    </row>
    <row r="1490" spans="1:25">
      <c r="A1490" s="1" t="s">
        <v>1559</v>
      </c>
      <c r="B1490" t="s">
        <v>70</v>
      </c>
      <c r="C1490" t="s">
        <v>27</v>
      </c>
      <c r="D1490" t="s">
        <v>44</v>
      </c>
      <c r="E1490" t="s">
        <v>66</v>
      </c>
      <c r="F1490" t="s">
        <v>38</v>
      </c>
      <c r="G1490" t="s">
        <v>39</v>
      </c>
      <c r="H1490" t="s">
        <v>56</v>
      </c>
      <c r="I1490" t="s">
        <v>41</v>
      </c>
      <c r="J1490" s="2">
        <v>45031</v>
      </c>
      <c r="K1490" s="2">
        <v>45035</v>
      </c>
      <c r="L1490" s="2">
        <v>45044</v>
      </c>
      <c r="M1490" s="2">
        <v>45049</v>
      </c>
      <c r="N1490" s="2">
        <v>45053</v>
      </c>
      <c r="O1490">
        <v>1</v>
      </c>
      <c r="P1490">
        <v>1</v>
      </c>
      <c r="Q1490">
        <v>1</v>
      </c>
      <c r="R1490">
        <v>1</v>
      </c>
      <c r="S1490">
        <v>0</v>
      </c>
      <c r="T1490" t="s">
        <v>61</v>
      </c>
      <c r="U1490">
        <v>65</v>
      </c>
      <c r="V1490">
        <v>22</v>
      </c>
      <c r="W1490">
        <v>0</v>
      </c>
      <c r="X1490">
        <v>562558</v>
      </c>
    </row>
    <row r="1491" spans="1:25">
      <c r="A1491" s="1" t="s">
        <v>1560</v>
      </c>
      <c r="B1491" t="s">
        <v>26</v>
      </c>
      <c r="C1491" t="s">
        <v>47</v>
      </c>
      <c r="D1491" t="s">
        <v>73</v>
      </c>
      <c r="E1491" t="s">
        <v>54</v>
      </c>
      <c r="F1491" t="s">
        <v>38</v>
      </c>
      <c r="G1491" t="s">
        <v>45</v>
      </c>
      <c r="H1491" t="s">
        <v>56</v>
      </c>
      <c r="I1491" t="s">
        <v>41</v>
      </c>
      <c r="J1491" s="2">
        <v>45272</v>
      </c>
      <c r="K1491" s="2">
        <v>45277</v>
      </c>
      <c r="L1491" s="2">
        <v>45281</v>
      </c>
      <c r="M1491" s="2">
        <v>45285</v>
      </c>
      <c r="N1491" s="2">
        <v>45288</v>
      </c>
      <c r="O1491">
        <v>1</v>
      </c>
      <c r="P1491">
        <v>0</v>
      </c>
      <c r="Q1491">
        <v>0</v>
      </c>
      <c r="R1491">
        <v>0</v>
      </c>
      <c r="S1491">
        <v>0</v>
      </c>
      <c r="T1491" t="s">
        <v>34</v>
      </c>
      <c r="U1491">
        <v>77</v>
      </c>
      <c r="W1491">
        <v>12</v>
      </c>
    </row>
    <row r="1492" spans="1:25">
      <c r="A1492" s="1" t="s">
        <v>1561</v>
      </c>
      <c r="B1492" t="s">
        <v>36</v>
      </c>
      <c r="C1492" t="s">
        <v>37</v>
      </c>
      <c r="D1492" t="s">
        <v>73</v>
      </c>
      <c r="E1492" t="s">
        <v>54</v>
      </c>
      <c r="F1492" t="s">
        <v>64</v>
      </c>
      <c r="G1492" t="s">
        <v>55</v>
      </c>
      <c r="H1492" t="s">
        <v>56</v>
      </c>
      <c r="I1492" t="s">
        <v>41</v>
      </c>
      <c r="J1492" s="2">
        <v>45229</v>
      </c>
      <c r="K1492" s="2">
        <v>45232</v>
      </c>
      <c r="L1492" s="2">
        <v>45238</v>
      </c>
      <c r="M1492" s="2">
        <v>45244</v>
      </c>
      <c r="N1492" s="2">
        <v>45248</v>
      </c>
      <c r="O1492">
        <v>1</v>
      </c>
      <c r="P1492">
        <v>0</v>
      </c>
      <c r="Q1492">
        <v>0</v>
      </c>
      <c r="R1492">
        <v>0</v>
      </c>
      <c r="S1492">
        <v>0</v>
      </c>
      <c r="T1492" t="s">
        <v>34</v>
      </c>
      <c r="U1492">
        <v>84</v>
      </c>
      <c r="W1492">
        <v>4</v>
      </c>
    </row>
    <row r="1493" spans="1:25">
      <c r="A1493" s="1" t="s">
        <v>1562</v>
      </c>
      <c r="B1493" t="s">
        <v>36</v>
      </c>
      <c r="C1493" t="s">
        <v>47</v>
      </c>
      <c r="D1493" t="s">
        <v>44</v>
      </c>
      <c r="E1493" t="s">
        <v>102</v>
      </c>
      <c r="F1493" t="s">
        <v>76</v>
      </c>
      <c r="G1493" t="s">
        <v>45</v>
      </c>
      <c r="H1493" t="s">
        <v>56</v>
      </c>
      <c r="I1493" t="s">
        <v>33</v>
      </c>
      <c r="J1493" s="2">
        <v>45206</v>
      </c>
      <c r="K1493" s="2">
        <v>45211</v>
      </c>
      <c r="L1493" s="2">
        <v>45216</v>
      </c>
      <c r="M1493" s="2">
        <v>45222</v>
      </c>
      <c r="N1493" s="2">
        <v>45236</v>
      </c>
      <c r="O1493">
        <v>1</v>
      </c>
      <c r="P1493">
        <v>0</v>
      </c>
      <c r="Q1493">
        <v>0</v>
      </c>
      <c r="R1493">
        <v>0</v>
      </c>
      <c r="S1493">
        <v>0</v>
      </c>
      <c r="T1493" t="s">
        <v>34</v>
      </c>
      <c r="U1493">
        <v>57</v>
      </c>
      <c r="W1493">
        <v>15</v>
      </c>
    </row>
    <row r="1494" spans="1:25">
      <c r="A1494" s="1" t="s">
        <v>1563</v>
      </c>
      <c r="B1494" t="s">
        <v>26</v>
      </c>
      <c r="C1494" t="s">
        <v>27</v>
      </c>
      <c r="D1494" t="s">
        <v>73</v>
      </c>
      <c r="E1494" t="s">
        <v>63</v>
      </c>
      <c r="F1494" t="s">
        <v>67</v>
      </c>
      <c r="G1494" t="s">
        <v>39</v>
      </c>
      <c r="H1494" t="s">
        <v>56</v>
      </c>
      <c r="I1494" t="s">
        <v>41</v>
      </c>
      <c r="J1494" s="2">
        <v>45072</v>
      </c>
      <c r="K1494" s="2">
        <v>45074</v>
      </c>
      <c r="L1494" s="2">
        <v>45077</v>
      </c>
      <c r="M1494" s="2">
        <v>45083</v>
      </c>
      <c r="N1494" s="2">
        <v>45086</v>
      </c>
      <c r="O1494">
        <v>1</v>
      </c>
      <c r="P1494">
        <v>1</v>
      </c>
      <c r="Q1494">
        <v>1</v>
      </c>
      <c r="R1494">
        <v>0</v>
      </c>
      <c r="S1494">
        <v>0</v>
      </c>
      <c r="T1494" t="s">
        <v>49</v>
      </c>
      <c r="U1494">
        <v>86</v>
      </c>
      <c r="W1494">
        <v>0</v>
      </c>
      <c r="X1494">
        <v>536980</v>
      </c>
      <c r="Y1494" t="s">
        <v>127</v>
      </c>
    </row>
    <row r="1495" spans="1:25">
      <c r="A1495" s="1" t="s">
        <v>1564</v>
      </c>
      <c r="B1495" t="s">
        <v>43</v>
      </c>
      <c r="C1495" t="s">
        <v>78</v>
      </c>
      <c r="D1495" t="s">
        <v>52</v>
      </c>
      <c r="E1495" t="s">
        <v>29</v>
      </c>
      <c r="F1495" t="s">
        <v>48</v>
      </c>
      <c r="G1495" t="s">
        <v>45</v>
      </c>
      <c r="H1495" t="s">
        <v>32</v>
      </c>
      <c r="I1495" t="s">
        <v>33</v>
      </c>
      <c r="J1495" s="2">
        <v>45449</v>
      </c>
      <c r="K1495" s="2">
        <v>45454</v>
      </c>
      <c r="L1495" s="2">
        <v>45461</v>
      </c>
      <c r="M1495" s="2">
        <v>45466</v>
      </c>
      <c r="N1495" s="2">
        <v>45472</v>
      </c>
      <c r="O1495">
        <v>1</v>
      </c>
      <c r="P1495">
        <v>1</v>
      </c>
      <c r="Q1495">
        <v>1</v>
      </c>
      <c r="R1495">
        <v>0</v>
      </c>
      <c r="S1495">
        <v>0</v>
      </c>
      <c r="T1495" t="s">
        <v>49</v>
      </c>
      <c r="U1495">
        <v>74</v>
      </c>
      <c r="W1495">
        <v>7</v>
      </c>
      <c r="X1495">
        <v>1436020</v>
      </c>
      <c r="Y1495" t="s">
        <v>87</v>
      </c>
    </row>
    <row r="1496" spans="1:25">
      <c r="A1496" s="1" t="s">
        <v>1565</v>
      </c>
      <c r="B1496" t="s">
        <v>70</v>
      </c>
      <c r="C1496" t="s">
        <v>27</v>
      </c>
      <c r="D1496" t="s">
        <v>73</v>
      </c>
      <c r="E1496" t="s">
        <v>66</v>
      </c>
      <c r="F1496" t="s">
        <v>64</v>
      </c>
      <c r="G1496" t="s">
        <v>60</v>
      </c>
      <c r="H1496" t="s">
        <v>40</v>
      </c>
      <c r="I1496" t="s">
        <v>33</v>
      </c>
      <c r="J1496" s="2">
        <v>44960</v>
      </c>
      <c r="K1496" s="2">
        <v>44963</v>
      </c>
      <c r="L1496" s="2">
        <v>44967</v>
      </c>
      <c r="M1496" s="2">
        <v>44971</v>
      </c>
      <c r="N1496" s="2">
        <v>44983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74</v>
      </c>
      <c r="U1496">
        <v>96</v>
      </c>
      <c r="W1496">
        <v>0</v>
      </c>
    </row>
    <row r="1497" spans="1:25">
      <c r="A1497" s="1" t="s">
        <v>1566</v>
      </c>
      <c r="B1497" t="s">
        <v>58</v>
      </c>
      <c r="C1497" t="s">
        <v>71</v>
      </c>
      <c r="D1497" t="s">
        <v>73</v>
      </c>
      <c r="E1497" t="s">
        <v>66</v>
      </c>
      <c r="F1497" t="s">
        <v>30</v>
      </c>
      <c r="G1497" t="s">
        <v>60</v>
      </c>
      <c r="H1497" t="s">
        <v>32</v>
      </c>
      <c r="I1497" t="s">
        <v>41</v>
      </c>
      <c r="J1497" s="2">
        <v>44982</v>
      </c>
      <c r="K1497" s="2">
        <v>44987</v>
      </c>
      <c r="L1497" s="2">
        <v>44992</v>
      </c>
      <c r="M1497" s="2">
        <v>44996</v>
      </c>
      <c r="N1497" s="2">
        <v>45000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74</v>
      </c>
      <c r="U1497">
        <v>47</v>
      </c>
      <c r="W1497">
        <v>7</v>
      </c>
    </row>
    <row r="1498" spans="1:25">
      <c r="A1498" s="1" t="s">
        <v>1567</v>
      </c>
      <c r="B1498" t="s">
        <v>70</v>
      </c>
      <c r="C1498" t="s">
        <v>37</v>
      </c>
      <c r="D1498" t="s">
        <v>59</v>
      </c>
      <c r="E1498" t="s">
        <v>54</v>
      </c>
      <c r="F1498" t="s">
        <v>30</v>
      </c>
      <c r="G1498" t="s">
        <v>60</v>
      </c>
      <c r="H1498" t="s">
        <v>32</v>
      </c>
      <c r="I1498" t="s">
        <v>33</v>
      </c>
      <c r="J1498" s="2">
        <v>45148</v>
      </c>
      <c r="K1498" s="2">
        <v>45149</v>
      </c>
      <c r="L1498" s="2">
        <v>45158</v>
      </c>
      <c r="M1498" s="2">
        <v>45165</v>
      </c>
      <c r="N1498" s="2">
        <v>45186</v>
      </c>
      <c r="O1498">
        <v>1</v>
      </c>
      <c r="P1498">
        <v>0</v>
      </c>
      <c r="Q1498">
        <v>0</v>
      </c>
      <c r="R1498">
        <v>0</v>
      </c>
      <c r="S1498">
        <v>1</v>
      </c>
      <c r="T1498" t="s">
        <v>34</v>
      </c>
      <c r="U1498">
        <v>76</v>
      </c>
      <c r="W1498">
        <v>1</v>
      </c>
    </row>
    <row r="1499" spans="1:25">
      <c r="A1499" s="1" t="s">
        <v>1568</v>
      </c>
      <c r="B1499" t="s">
        <v>43</v>
      </c>
      <c r="C1499" t="s">
        <v>47</v>
      </c>
      <c r="D1499" t="s">
        <v>44</v>
      </c>
      <c r="E1499" t="s">
        <v>29</v>
      </c>
      <c r="F1499" t="s">
        <v>48</v>
      </c>
      <c r="G1499" t="s">
        <v>55</v>
      </c>
      <c r="H1499" t="s">
        <v>40</v>
      </c>
      <c r="I1499" t="s">
        <v>41</v>
      </c>
      <c r="J1499" s="2">
        <v>45404</v>
      </c>
      <c r="K1499" s="2">
        <v>45405</v>
      </c>
      <c r="L1499" s="2">
        <v>45410</v>
      </c>
      <c r="M1499" s="2">
        <v>45412</v>
      </c>
      <c r="N1499" s="2">
        <v>45425</v>
      </c>
      <c r="O1499">
        <v>1</v>
      </c>
      <c r="P1499">
        <v>0</v>
      </c>
      <c r="Q1499">
        <v>0</v>
      </c>
      <c r="R1499">
        <v>0</v>
      </c>
      <c r="S1499">
        <v>0</v>
      </c>
      <c r="T1499" t="s">
        <v>34</v>
      </c>
      <c r="U1499">
        <v>50</v>
      </c>
      <c r="W1499">
        <v>13</v>
      </c>
    </row>
    <row r="1500" spans="1:25">
      <c r="A1500" s="1" t="s">
        <v>1569</v>
      </c>
      <c r="B1500" t="s">
        <v>58</v>
      </c>
      <c r="C1500" t="s">
        <v>37</v>
      </c>
      <c r="D1500" t="s">
        <v>59</v>
      </c>
      <c r="E1500" t="s">
        <v>63</v>
      </c>
      <c r="F1500" t="s">
        <v>48</v>
      </c>
      <c r="G1500" t="s">
        <v>60</v>
      </c>
      <c r="H1500" t="s">
        <v>56</v>
      </c>
      <c r="I1500" t="s">
        <v>41</v>
      </c>
      <c r="J1500" s="2">
        <v>45366</v>
      </c>
      <c r="K1500" s="2">
        <v>45368</v>
      </c>
      <c r="L1500" s="2">
        <v>45374</v>
      </c>
      <c r="M1500" s="2">
        <v>45377</v>
      </c>
      <c r="N1500" s="2">
        <v>45381</v>
      </c>
      <c r="O1500">
        <v>1</v>
      </c>
      <c r="P1500">
        <v>0</v>
      </c>
      <c r="Q1500">
        <v>0</v>
      </c>
      <c r="R1500">
        <v>0</v>
      </c>
      <c r="S1500">
        <v>0</v>
      </c>
      <c r="T1500" t="s">
        <v>34</v>
      </c>
      <c r="U1500">
        <v>48</v>
      </c>
      <c r="W1500">
        <v>1</v>
      </c>
    </row>
    <row r="1501" spans="1:25">
      <c r="A1501" s="1" t="s">
        <v>1570</v>
      </c>
      <c r="B1501" t="s">
        <v>43</v>
      </c>
      <c r="C1501" t="s">
        <v>27</v>
      </c>
      <c r="D1501" t="s">
        <v>59</v>
      </c>
      <c r="E1501" t="s">
        <v>66</v>
      </c>
      <c r="F1501" t="s">
        <v>64</v>
      </c>
      <c r="G1501" t="s">
        <v>31</v>
      </c>
      <c r="H1501" t="s">
        <v>40</v>
      </c>
      <c r="I1501" t="s">
        <v>41</v>
      </c>
      <c r="J1501" s="2">
        <v>45403</v>
      </c>
      <c r="K1501" s="2">
        <v>45408</v>
      </c>
      <c r="L1501" s="2">
        <v>45415</v>
      </c>
      <c r="M1501" s="2">
        <v>45421</v>
      </c>
      <c r="N1501" s="2">
        <v>45423</v>
      </c>
      <c r="O1501">
        <v>0</v>
      </c>
      <c r="P1501">
        <v>0</v>
      </c>
      <c r="Q1501">
        <v>0</v>
      </c>
      <c r="R1501">
        <v>0</v>
      </c>
      <c r="S1501">
        <v>0</v>
      </c>
      <c r="T1501" t="s">
        <v>74</v>
      </c>
      <c r="U1501">
        <v>72</v>
      </c>
      <c r="W1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3901-438C-43B5-B4F4-241136AD2F9E}">
  <dimension ref="A1:B10"/>
  <sheetViews>
    <sheetView workbookViewId="0">
      <selection activeCell="F23" sqref="F23"/>
    </sheetView>
  </sheetViews>
  <sheetFormatPr defaultRowHeight="15"/>
  <cols>
    <col min="1" max="1" width="28" customWidth="1"/>
    <col min="2" max="2" width="22.5703125" customWidth="1"/>
  </cols>
  <sheetData>
    <row r="1" spans="1:2">
      <c r="A1" s="29" t="s">
        <v>1571</v>
      </c>
      <c r="B1" s="30" t="s">
        <v>1572</v>
      </c>
    </row>
    <row r="2" spans="1:2">
      <c r="A2" s="9" t="s">
        <v>1573</v>
      </c>
      <c r="B2" s="10">
        <f>COUNTA(Raw_Data!A:A)-1</f>
        <v>1500</v>
      </c>
    </row>
    <row r="3" spans="1:2">
      <c r="A3" s="11" t="s">
        <v>1574</v>
      </c>
      <c r="B3" s="12">
        <f>SUM(Raw_Data!O:O)</f>
        <v>1069</v>
      </c>
    </row>
    <row r="4" spans="1:2">
      <c r="A4" s="11" t="s">
        <v>1575</v>
      </c>
      <c r="B4" s="12">
        <f>SUM(Raw_Data!P:P)</f>
        <v>773</v>
      </c>
    </row>
    <row r="5" spans="1:2">
      <c r="A5" s="11" t="s">
        <v>1576</v>
      </c>
      <c r="B5" s="12">
        <f>SUM(Raw_Data!Q:Q)</f>
        <v>549</v>
      </c>
    </row>
    <row r="6" spans="1:2">
      <c r="A6" s="11" t="s">
        <v>1577</v>
      </c>
      <c r="B6" s="12">
        <f>SUM(Raw_Data!R:R)</f>
        <v>260</v>
      </c>
    </row>
    <row r="7" spans="1:2">
      <c r="A7" s="5" t="s">
        <v>1578</v>
      </c>
      <c r="B7" s="6">
        <f>(B3/B2)*100</f>
        <v>71.266666666666666</v>
      </c>
    </row>
    <row r="8" spans="1:2">
      <c r="A8" s="5" t="s">
        <v>1579</v>
      </c>
      <c r="B8" s="6">
        <f>(B4/B3)*100</f>
        <v>72.310570626753972</v>
      </c>
    </row>
    <row r="9" spans="1:2">
      <c r="A9" s="5" t="s">
        <v>1580</v>
      </c>
      <c r="B9" s="6">
        <f>(B5/B4)*100</f>
        <v>71.021992238033633</v>
      </c>
    </row>
    <row r="10" spans="1:2">
      <c r="A10" s="7" t="s">
        <v>1581</v>
      </c>
      <c r="B10" s="8">
        <f>(B6/B5)*100</f>
        <v>47.358834244080143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9638-9C00-4F69-A40B-DFE03ADE55D5}">
  <dimension ref="A1:F16"/>
  <sheetViews>
    <sheetView workbookViewId="0">
      <selection activeCell="E3" sqref="E3"/>
    </sheetView>
  </sheetViews>
  <sheetFormatPr defaultRowHeight="15"/>
  <cols>
    <col min="1" max="1" width="13.7109375" bestFit="1" customWidth="1"/>
    <col min="2" max="2" width="18" bestFit="1" customWidth="1"/>
    <col min="3" max="3" width="12.5703125" bestFit="1" customWidth="1"/>
  </cols>
  <sheetData>
    <row r="1" spans="1:6">
      <c r="A1" s="23" t="s">
        <v>1582</v>
      </c>
      <c r="B1" s="24" t="s">
        <v>1583</v>
      </c>
      <c r="C1" s="25" t="s">
        <v>1584</v>
      </c>
      <c r="D1" s="13"/>
    </row>
    <row r="2" spans="1:6">
      <c r="A2" s="17" t="s">
        <v>70</v>
      </c>
      <c r="B2" s="14">
        <f>AVERAGEIFS(Raw_Data!V:V,Raw_Data!B:B,A2,Raw_Data!R:R,1)</f>
        <v>29.652777777777779</v>
      </c>
      <c r="C2" s="20">
        <f>COUNTIFS(Raw_Data!B:B,A2,Raw_Data!R:R,1)</f>
        <v>72</v>
      </c>
      <c r="D2" s="13"/>
    </row>
    <row r="3" spans="1:6">
      <c r="A3" s="17" t="s">
        <v>90</v>
      </c>
      <c r="B3" s="14">
        <f>AVERAGEIFS(Raw_Data!V:V,Raw_Data!B:B,A3,Raw_Data!R:R,1)</f>
        <v>25.484848484848484</v>
      </c>
      <c r="C3" s="20">
        <f>COUNTIFS(Raw_Data!B:B,A3,Raw_Data!R:R,1)</f>
        <v>33</v>
      </c>
      <c r="D3" s="13"/>
    </row>
    <row r="4" spans="1:6">
      <c r="A4" s="19" t="s">
        <v>36</v>
      </c>
      <c r="B4" s="16">
        <f>AVERAGEIFS(Raw_Data!V:V,Raw_Data!B:B,A4,Raw_Data!R:R,1)</f>
        <v>22.346153846153847</v>
      </c>
      <c r="C4" s="22">
        <f>COUNTIFS(Raw_Data!B:B,A4,Raw_Data!R:R,1)</f>
        <v>26</v>
      </c>
      <c r="D4" s="13"/>
    </row>
    <row r="5" spans="1:6">
      <c r="A5" s="19" t="s">
        <v>43</v>
      </c>
      <c r="B5" s="16">
        <f>AVERAGEIFS(Raw_Data!V:V,Raw_Data!B:B,A5,Raw_Data!R:R,1)</f>
        <v>22.19047619047619</v>
      </c>
      <c r="C5" s="22">
        <f>COUNTIFS(Raw_Data!B:B,A5,Raw_Data!R:R,1)</f>
        <v>42</v>
      </c>
      <c r="D5" s="13"/>
    </row>
    <row r="6" spans="1:6">
      <c r="A6" s="18" t="s">
        <v>26</v>
      </c>
      <c r="B6" s="15">
        <f>AVERAGEIFS(Raw_Data!V:V,Raw_Data!B:B,A6,Raw_Data!R:R,1)</f>
        <v>18.984375</v>
      </c>
      <c r="C6" s="21">
        <f>COUNTIFS(Raw_Data!B:B,A6,Raw_Data!R:R,1)</f>
        <v>64</v>
      </c>
      <c r="D6" s="13"/>
    </row>
    <row r="7" spans="1:6">
      <c r="A7" s="26" t="s">
        <v>58</v>
      </c>
      <c r="B7" s="27">
        <f>AVERAGEIFS(Raw_Data!V:V,Raw_Data!B:B,A7,Raw_Data!R:R,1)</f>
        <v>15.913043478260869</v>
      </c>
      <c r="C7" s="28">
        <f>COUNTIFS(Raw_Data!B:B,A7,Raw_Data!R:R,1)</f>
        <v>23</v>
      </c>
      <c r="D7" s="13"/>
    </row>
    <row r="8" spans="1:6">
      <c r="A8" s="13"/>
      <c r="B8" s="13"/>
      <c r="C8" s="13"/>
      <c r="D8" s="13"/>
    </row>
    <row r="9" spans="1:6">
      <c r="A9" s="57" t="s">
        <v>1585</v>
      </c>
      <c r="B9" s="57"/>
      <c r="C9" s="57"/>
      <c r="D9" s="57"/>
      <c r="E9" s="57"/>
      <c r="F9" s="57"/>
    </row>
    <row r="10" spans="1:6">
      <c r="A10" s="57" t="s">
        <v>1586</v>
      </c>
      <c r="B10" s="57"/>
      <c r="C10" s="57"/>
      <c r="D10" s="57"/>
      <c r="E10" s="57"/>
      <c r="F10" s="57"/>
    </row>
    <row r="11" spans="1:6">
      <c r="A11" s="57" t="s">
        <v>1587</v>
      </c>
      <c r="B11" s="57"/>
      <c r="C11" s="57"/>
      <c r="D11" s="57"/>
      <c r="E11" s="57"/>
      <c r="F11" s="57"/>
    </row>
    <row r="12" spans="1:6">
      <c r="A12" s="57"/>
      <c r="B12" s="57"/>
      <c r="C12" s="57"/>
      <c r="D12" s="57"/>
      <c r="E12" s="57"/>
      <c r="F12" s="57"/>
    </row>
    <row r="13" spans="1:6">
      <c r="A13" s="57" t="s">
        <v>1588</v>
      </c>
      <c r="B13" s="57"/>
      <c r="C13" s="57"/>
      <c r="D13" s="57"/>
      <c r="E13" s="57"/>
      <c r="F13" s="57"/>
    </row>
    <row r="14" spans="1:6">
      <c r="A14" s="57" t="s">
        <v>1589</v>
      </c>
      <c r="B14" s="57"/>
      <c r="C14" s="57"/>
      <c r="D14" s="57"/>
      <c r="E14" s="57"/>
      <c r="F14" s="57"/>
    </row>
    <row r="15" spans="1:6">
      <c r="A15" s="57" t="s">
        <v>1590</v>
      </c>
      <c r="B15" s="57"/>
      <c r="C15" s="57"/>
      <c r="D15" s="57"/>
      <c r="E15" s="57"/>
      <c r="F15" s="57"/>
    </row>
    <row r="16" spans="1:6">
      <c r="A16" s="57"/>
      <c r="B16" s="57"/>
      <c r="C16" s="57"/>
      <c r="D16" s="57"/>
      <c r="E16" s="57"/>
      <c r="F16" s="57"/>
    </row>
  </sheetData>
  <mergeCells count="8">
    <mergeCell ref="A9:F9"/>
    <mergeCell ref="A16:F16"/>
    <mergeCell ref="A10:F10"/>
    <mergeCell ref="A11:F11"/>
    <mergeCell ref="A12:F12"/>
    <mergeCell ref="A13:F13"/>
    <mergeCell ref="A14:F14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82C7-25F7-485D-95F5-740A99E3DA3A}">
  <dimension ref="A1:G17"/>
  <sheetViews>
    <sheetView workbookViewId="0">
      <selection activeCell="B21" sqref="B21"/>
    </sheetView>
  </sheetViews>
  <sheetFormatPr defaultRowHeight="15"/>
  <cols>
    <col min="2" max="2" width="18.140625" customWidth="1"/>
    <col min="3" max="3" width="10.28515625" bestFit="1" customWidth="1"/>
    <col min="4" max="4" width="12.7109375" bestFit="1" customWidth="1"/>
    <col min="5" max="5" width="15.42578125" bestFit="1" customWidth="1"/>
    <col min="6" max="6" width="18.140625" bestFit="1" customWidth="1"/>
  </cols>
  <sheetData>
    <row r="1" spans="1:7" ht="21.75" customHeight="1">
      <c r="A1" s="32" t="s">
        <v>1591</v>
      </c>
      <c r="B1" s="33" t="s">
        <v>1573</v>
      </c>
      <c r="C1" s="32" t="s">
        <v>1592</v>
      </c>
      <c r="D1" s="34" t="s">
        <v>1593</v>
      </c>
      <c r="E1" s="34" t="s">
        <v>1594</v>
      </c>
      <c r="F1" s="32" t="s">
        <v>1595</v>
      </c>
    </row>
    <row r="2" spans="1:7">
      <c r="A2" s="43" t="s">
        <v>29</v>
      </c>
      <c r="B2" s="44">
        <f>COUNTIF(Raw_Data!E:E,A2)</f>
        <v>335</v>
      </c>
      <c r="C2" s="44">
        <f>COUNTIFS(
Raw_Data!E:E,A2,
Raw_Data!R:R,1
)</f>
        <v>58</v>
      </c>
      <c r="D2" s="45">
        <f>C2/B2</f>
        <v>0.17313432835820897</v>
      </c>
      <c r="E2" s="46">
        <f>AVERAGEIFS(
Raw_Data!V:V,
Raw_Data!E:E,A2,
Raw_Data!R:R,1
)</f>
        <v>23.137931034482758</v>
      </c>
      <c r="F2" s="44" t="str">
        <f>IF(D2&gt;=18%,"High Performer",IF(D2&gt;=17%,"Good","Needs Improvement"))</f>
        <v>Good</v>
      </c>
    </row>
    <row r="3" spans="1:7">
      <c r="A3" s="43" t="s">
        <v>63</v>
      </c>
      <c r="B3" s="44">
        <f>COUNTIF(Raw_Data!E:E,A3)</f>
        <v>281</v>
      </c>
      <c r="C3" s="44">
        <f>COUNTIFS(
Raw_Data!E:E,A3,
Raw_Data!R:R,1
)</f>
        <v>48</v>
      </c>
      <c r="D3" s="45">
        <f t="shared" ref="D3:D6" si="0">C3/B3</f>
        <v>0.1708185053380783</v>
      </c>
      <c r="E3" s="46">
        <f>AVERAGEIFS(
Raw_Data!V:V,
Raw_Data!E:E,A3,
Raw_Data!R:R,1
)</f>
        <v>23.791666666666668</v>
      </c>
      <c r="F3" s="44" t="str">
        <f t="shared" ref="F3:F6" si="1">IF(D3&gt;=18%,"High Performer",IF(D3&gt;=17%,"Good","Needs Improvement"))</f>
        <v>Good</v>
      </c>
    </row>
    <row r="4" spans="1:7">
      <c r="A4" s="39" t="s">
        <v>66</v>
      </c>
      <c r="B4" s="40">
        <f>COUNTIF(Raw_Data!E:E,A4)</f>
        <v>302</v>
      </c>
      <c r="C4" s="40">
        <f>COUNTIFS(
Raw_Data!E:E,A4,
Raw_Data!R:R,1
)</f>
        <v>51</v>
      </c>
      <c r="D4" s="41">
        <f t="shared" si="0"/>
        <v>0.16887417218543047</v>
      </c>
      <c r="E4" s="42">
        <f>AVERAGEIFS(
Raw_Data!V:V,
Raw_Data!E:E,A4,
Raw_Data!R:R,1
)</f>
        <v>23.215686274509803</v>
      </c>
      <c r="F4" s="40" t="str">
        <f t="shared" si="1"/>
        <v>Needs Improvement</v>
      </c>
    </row>
    <row r="5" spans="1:7">
      <c r="A5" s="39" t="s">
        <v>102</v>
      </c>
      <c r="B5" s="40">
        <f>COUNTIF(Raw_Data!E:E,A5)</f>
        <v>252</v>
      </c>
      <c r="C5" s="40">
        <f>COUNTIFS(
Raw_Data!E:E,A5,
Raw_Data!R:R,1
)</f>
        <v>42</v>
      </c>
      <c r="D5" s="41">
        <f t="shared" si="0"/>
        <v>0.16666666666666666</v>
      </c>
      <c r="E5" s="42">
        <f>AVERAGEIFS(
Raw_Data!V:V,
Raw_Data!E:E,A5,
Raw_Data!R:R,1
)</f>
        <v>23.69047619047619</v>
      </c>
      <c r="F5" s="40" t="str">
        <f t="shared" si="1"/>
        <v>Needs Improvement</v>
      </c>
    </row>
    <row r="6" spans="1:7">
      <c r="A6" s="35" t="s">
        <v>54</v>
      </c>
      <c r="B6" s="36">
        <f>COUNTIF(Raw_Data!E:E,A6)</f>
        <v>330</v>
      </c>
      <c r="C6" s="36">
        <f>COUNTIFS(
Raw_Data!E:E,A6,
Raw_Data!R:R,1
)</f>
        <v>61</v>
      </c>
      <c r="D6" s="37">
        <f t="shared" si="0"/>
        <v>0.18484848484848485</v>
      </c>
      <c r="E6" s="38">
        <f>AVERAGEIFS(
Raw_Data!V:V,
Raw_Data!E:E,A6,
Raw_Data!R:R,1
)</f>
        <v>23.065573770491802</v>
      </c>
      <c r="F6" s="36" t="str">
        <f t="shared" si="1"/>
        <v>High Performer</v>
      </c>
    </row>
    <row r="9" spans="1:7">
      <c r="A9" s="58" t="s">
        <v>1596</v>
      </c>
      <c r="B9" s="58"/>
      <c r="C9" s="58"/>
      <c r="D9" s="58"/>
      <c r="E9" s="58"/>
      <c r="F9" s="58"/>
    </row>
    <row r="10" spans="1:7">
      <c r="A10" s="59" t="s">
        <v>1597</v>
      </c>
      <c r="B10" s="58"/>
      <c r="C10" s="58"/>
      <c r="D10" s="58"/>
      <c r="E10" s="58"/>
      <c r="F10" s="58"/>
    </row>
    <row r="11" spans="1:7">
      <c r="A11" s="58"/>
      <c r="B11" s="58"/>
      <c r="C11" s="58"/>
      <c r="D11" s="58"/>
      <c r="E11" s="58"/>
      <c r="F11" s="58"/>
    </row>
    <row r="12" spans="1:7">
      <c r="A12" s="58" t="s">
        <v>1598</v>
      </c>
      <c r="B12" s="58"/>
      <c r="C12" s="58"/>
      <c r="D12" s="58"/>
      <c r="E12" s="58"/>
      <c r="F12" s="58"/>
      <c r="G12" s="31"/>
    </row>
    <row r="13" spans="1:7">
      <c r="A13" s="58"/>
      <c r="B13" s="58"/>
      <c r="C13" s="58"/>
      <c r="D13" s="58"/>
      <c r="E13" s="58"/>
      <c r="F13" s="58"/>
    </row>
    <row r="14" spans="1:7">
      <c r="A14" s="59" t="s">
        <v>1599</v>
      </c>
      <c r="B14" s="58"/>
      <c r="C14" s="58"/>
      <c r="D14" s="58"/>
      <c r="E14" s="58"/>
      <c r="F14" s="58"/>
    </row>
    <row r="15" spans="1:7">
      <c r="A15" s="58" t="s">
        <v>1600</v>
      </c>
      <c r="B15" s="58"/>
      <c r="C15" s="58"/>
      <c r="D15" s="58"/>
      <c r="E15" s="58"/>
      <c r="F15" s="58"/>
    </row>
    <row r="16" spans="1:7">
      <c r="A16" s="58"/>
      <c r="B16" s="58"/>
      <c r="C16" s="58"/>
      <c r="D16" s="58"/>
      <c r="E16" s="58"/>
      <c r="F16" s="58"/>
    </row>
    <row r="17" spans="1:6">
      <c r="A17" s="58"/>
      <c r="B17" s="58"/>
      <c r="C17" s="58"/>
      <c r="D17" s="58"/>
      <c r="E17" s="58"/>
      <c r="F17" s="58"/>
    </row>
  </sheetData>
  <mergeCells count="9">
    <mergeCell ref="A15:F15"/>
    <mergeCell ref="A16:F16"/>
    <mergeCell ref="A17:F17"/>
    <mergeCell ref="A9:F9"/>
    <mergeCell ref="A10:F10"/>
    <mergeCell ref="A11:F11"/>
    <mergeCell ref="A12:F12"/>
    <mergeCell ref="A13:F13"/>
    <mergeCell ref="A14:F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8A15-45DE-4177-AE63-944131589A9B}">
  <dimension ref="A1:V27"/>
  <sheetViews>
    <sheetView showGridLines="0" tabSelected="1" workbookViewId="0">
      <selection activeCell="N24" sqref="N24"/>
    </sheetView>
  </sheetViews>
  <sheetFormatPr defaultRowHeight="15"/>
  <cols>
    <col min="12" max="12" width="18.42578125" bestFit="1" customWidth="1"/>
    <col min="13" max="13" width="17.85546875" customWidth="1"/>
    <col min="14" max="14" width="14.5703125" customWidth="1"/>
  </cols>
  <sheetData>
    <row r="1" spans="1:22" ht="31.5">
      <c r="A1" s="56" t="s">
        <v>1601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0" spans="12:14" ht="21">
      <c r="L20" s="47" t="s">
        <v>1602</v>
      </c>
      <c r="M20" s="48" t="s">
        <v>1603</v>
      </c>
      <c r="N20" s="48"/>
    </row>
    <row r="21" spans="12:14" ht="21">
      <c r="L21" s="49" t="s">
        <v>1604</v>
      </c>
      <c r="M21" s="50" t="s">
        <v>1572</v>
      </c>
      <c r="N21" s="60"/>
    </row>
    <row r="22" spans="12:14" ht="21">
      <c r="L22" s="51" t="s">
        <v>1605</v>
      </c>
      <c r="M22" s="52">
        <v>1500</v>
      </c>
      <c r="N22" s="61"/>
    </row>
    <row r="23" spans="12:14" ht="21">
      <c r="L23" s="51" t="s">
        <v>1606</v>
      </c>
      <c r="M23" s="52">
        <v>260</v>
      </c>
      <c r="N23" s="61"/>
    </row>
    <row r="24" spans="12:14" ht="21">
      <c r="L24" s="51" t="s">
        <v>1607</v>
      </c>
      <c r="M24" s="53">
        <v>0.17299999999999999</v>
      </c>
      <c r="N24" s="62"/>
    </row>
    <row r="25" spans="12:14" ht="21">
      <c r="L25" s="51" t="s">
        <v>1608</v>
      </c>
      <c r="M25" s="52" t="s">
        <v>58</v>
      </c>
      <c r="N25" s="61"/>
    </row>
    <row r="26" spans="12:14" ht="21">
      <c r="L26" s="51" t="s">
        <v>1609</v>
      </c>
      <c r="M26" s="52" t="s">
        <v>70</v>
      </c>
      <c r="N26" s="61"/>
    </row>
    <row r="27" spans="12:14" ht="21">
      <c r="L27" s="54" t="s">
        <v>1610</v>
      </c>
      <c r="M27" s="55" t="s">
        <v>54</v>
      </c>
      <c r="N27" s="61"/>
    </row>
  </sheetData>
  <mergeCells count="1">
    <mergeCell ref="A1:V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2026-06-11T05:46:47Z</dcterms:created>
  <dcterms:modified xsi:type="dcterms:W3CDTF">2026-06-11T10:31:24Z</dcterms:modified>
  <cp:category/>
  <cp:contentStatus/>
</cp:coreProperties>
</file>